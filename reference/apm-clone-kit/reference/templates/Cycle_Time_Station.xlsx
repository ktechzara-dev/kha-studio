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be245255d45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ycle_Time_Station" sheetId="1" r:id="R3abcefac9cce4e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sz val="10"/>
      <x:color rgb="FF18304C"/>
      <x:name val="Arial"/>
    </x:font>
    <x:font>
      <x:b/>
      <x:sz val="16"/>
      <x:color rgb="FF18304C"/>
      <x:name val="Arial"/>
    </x:font>
    <x:font>
      <x:i/>
      <x:sz val="10"/>
      <x:color rgb="FF617791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54B80"/>
      </x:patternFill>
    </x:fill>
    <x:fill>
      <x:patternFill patternType="solid">
        <x:fgColor rgb="FFFFFAF0"/>
      </x:patternFill>
    </x:fill>
    <x:fill>
      <x:patternFill patternType="solid">
        <x:fgColor rgb="FFEAF0F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4C5DE"/>
      </x:bottom>
      <x:diagonal/>
    </x:border>
    <x:border>
      <x:left/>
      <x:right/>
      <x:top/>
      <x:bottom style="thin">
        <x:color rgb="FFDCE5EF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A22B3B"/>
      </x:font>
      <x:fill>
        <x:patternFill patternType="solid">
          <x:bgColor rgb="FFFBE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41791151ff4ca9" /><Relationship Type="http://schemas.openxmlformats.org/officeDocument/2006/relationships/theme" Target="/xl/theme/theme1.xml" Id="Rea2f81a8ab584e9d" /><Relationship Type="http://schemas.openxmlformats.org/officeDocument/2006/relationships/sharedStrings" Target="/xl/sharedStrings.xml" Id="R6015ed1ea19a4590" /><Relationship Type="http://schemas.openxmlformats.org/officeDocument/2006/relationships/worksheet" Target="/xl/worksheets/sheet1.xml" Id="R3abcefac9cce4eb9" /></Relationships>
</file>

<file path=xl/tables/table1.xml><?xml version="1.0" encoding="utf-8"?>
<x:table xmlns:x="http://schemas.openxmlformats.org/spreadsheetml/2006/main" id="1" name="CycleTimeStationTable" displayName="CycleTimeStationTable" ref="A8:U38" headerRowCount="1" totalsRowCount="0" totalsRowShown="0">
  <x:tableColumns count="21">
    <x:tableColumn id="1" name="Model"/>
    <x:tableColumn id="2" name="Tên trạm"/>
    <x:tableColumn id="3" name="Trigger bắt đầu"/>
    <x:tableColumn id="4" name="Trigger kết thúc"/>
    <x:tableColumn id="5" name="SL/chu kỳ"/>
    <x:tableColumn id="6" name="Đơn vị"/>
    <x:tableColumn id="7" name="CT mục tiêu (s)"/>
    <x:tableColumn id="8" name="Lần 1 (s)"/>
    <x:tableColumn id="9" name="Lần 2 (s)"/>
    <x:tableColumn id="10" name="Lần 3 (s)"/>
    <x:tableColumn id="11" name="Lần 4 (s)"/>
    <x:tableColumn id="12" name="Lần 5 (s)"/>
    <x:tableColumn id="13" name="CT TB (s)"/>
    <x:tableColumn id="14" name="Min (s)"/>
    <x:tableColumn id="15" name="Max (s)"/>
    <x:tableColumn id="16" name="Chu kỳ/phút"/>
    <x:tableColumn id="17" name="SL/phút"/>
    <x:tableColumn id="18" name="SL/giờ"/>
    <x:tableColumn id="19" name="Lệch CT (s)"/>
    <x:tableColumn id="20" name="Kết luận"/>
    <x:tableColumn id="21" name="Hướng tối ư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87a1f7a9a643c5" /></Relationships>
</file>

<file path=xl/worksheets/sheet1.xml><?xml version="1.0" encoding="utf-8"?>
<x:worksheet xmlns:x="http://schemas.openxmlformats.org/spreadsheetml/2006/main">
  <x:sheetPr>
    <x:tabColor rgb="FF254B8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32" customHeight="1">
      <x:c r="A2" s="3" t="str">
        <x:v>Cycle Time Station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</x:row>
    <x:row r="4" ht="23" customHeight="1">
      <x:c r="A4" s="2" t="str">
        <x:v>Mã dự án</x:v>
      </x:c>
      <x:c r="B4" s="5"/>
      <x:c r="C4" s="2"/>
      <x:c r="D4" s="2" t="str">
        <x:v>Revision</x:v>
      </x:c>
      <x:c r="E4" s="5" t="str">
        <x:v>R00</x:v>
      </x:c>
      <x:c r="F4" s="2"/>
      <x:c r="G4" s="2" t="str">
        <x:v>Người lập</x:v>
      </x:c>
      <x:c r="H4" s="5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23" customHeight="1">
      <x:c r="A6" s="6" t="str">
        <x:v>Đo cùng điều kiện tải/speed. Năng suất chỉ có ý nghĩa khi đo đủ một chu kỳ; trạm song song không cộng CT.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ht="42" customHeight="1">
      <x:c r="A8" s="10" t="str">
        <x:v>Model</x:v>
      </x:c>
      <x:c r="B8" s="10" t="str">
        <x:v>Tên trạm</x:v>
      </x:c>
      <x:c r="C8" s="10" t="str">
        <x:v>Trigger bắt đầu</x:v>
      </x:c>
      <x:c r="D8" s="10" t="str">
        <x:v>Trigger kết thúc</x:v>
      </x:c>
      <x:c r="E8" s="10" t="str">
        <x:v>SL/chu kỳ</x:v>
      </x:c>
      <x:c r="F8" s="10" t="str">
        <x:v>Đơn vị</x:v>
      </x:c>
      <x:c r="G8" s="10" t="str">
        <x:v>CT mục tiêu (s)</x:v>
      </x:c>
      <x:c r="H8" s="10" t="str">
        <x:v>Lần 1 (s)</x:v>
      </x:c>
      <x:c r="I8" s="10" t="str">
        <x:v>Lần 2 (s)</x:v>
      </x:c>
      <x:c r="J8" s="10" t="str">
        <x:v>Lần 3 (s)</x:v>
      </x:c>
      <x:c r="K8" s="10" t="str">
        <x:v>Lần 4 (s)</x:v>
      </x:c>
      <x:c r="L8" s="10" t="str">
        <x:v>Lần 5 (s)</x:v>
      </x:c>
      <x:c r="M8" s="10" t="str">
        <x:v>CT TB (s)</x:v>
      </x:c>
      <x:c r="N8" s="10" t="str">
        <x:v>Min (s)</x:v>
      </x:c>
      <x:c r="O8" s="10" t="str">
        <x:v>Max (s)</x:v>
      </x:c>
      <x:c r="P8" s="10" t="str">
        <x:v>Chu kỳ/phút</x:v>
      </x:c>
      <x:c r="Q8" s="10" t="str">
        <x:v>SL/phút</x:v>
      </x:c>
      <x:c r="R8" s="10" t="str">
        <x:v>SL/giờ</x:v>
      </x:c>
      <x:c r="S8" s="10" t="str">
        <x:v>Lệch CT (s)</x:v>
      </x:c>
      <x:c r="T8" s="10" t="str">
        <x:v>Kết luận</x:v>
      </x:c>
      <x:c r="U8" s="10" t="str">
        <x:v>Hướng tối ưu</x:v>
      </x:c>
    </x:row>
    <x:row r="9" ht="23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4" t="str">
        <x:f>IF(COUNT(H9:L9)=0,"",AVERAGE(H9:L9))</x:f>
      </x:c>
      <x:c r="N9" s="14" t="str">
        <x:f>IF(COUNT(H9:L9)=0,"",MIN(H9:L9))</x:f>
      </x:c>
      <x:c r="O9" s="14" t="str">
        <x:f>IF(COUNT(H9:L9)=0,"",MAX(H9:L9))</x:f>
      </x:c>
      <x:c r="P9" s="14" t="str">
        <x:f>IF(OR(M9="",M9&lt;=0),"",60/M9)</x:f>
      </x:c>
      <x:c r="Q9" s="14" t="str">
        <x:f>IF(OR(M9="",M9&lt;=0,E9=""),"",E9*P9)</x:f>
      </x:c>
      <x:c r="R9" s="14" t="str">
        <x:f>IF(Q9="","",Q9*60)</x:f>
      </x:c>
      <x:c r="S9" s="14" t="str">
        <x:f>IF(OR(M9="",G9=""),"",M9-G9)</x:f>
      </x:c>
      <x:c r="T9" s="13" t="str">
        <x:f>IF(COUNT(S9)=0,"",IF(S9&lt;=0,"Đạt","Vượt mục tiêu"))</x:f>
      </x:c>
      <x:c r="U9" s="11"/>
    </x:row>
    <x:row r="10" ht="23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4" t="str">
        <x:f>IF(COUNT(H10:L10)=0,"",AVERAGE(H10:L10))</x:f>
      </x:c>
      <x:c r="N10" s="14" t="str">
        <x:f>IF(COUNT(H10:L10)=0,"",MIN(H10:L10))</x:f>
      </x:c>
      <x:c r="O10" s="14" t="str">
        <x:f>IF(COUNT(H10:L10)=0,"",MAX(H10:L10))</x:f>
      </x:c>
      <x:c r="P10" s="14" t="str">
        <x:f>IF(OR(M10="",M10&lt;=0),"",60/M10)</x:f>
      </x:c>
      <x:c r="Q10" s="14" t="str">
        <x:f>IF(OR(M10="",M10&lt;=0,E10=""),"",E10*P10)</x:f>
      </x:c>
      <x:c r="R10" s="14" t="str">
        <x:f>IF(Q10="","",Q10*60)</x:f>
      </x:c>
      <x:c r="S10" s="14" t="str">
        <x:f>IF(OR(M10="",G10=""),"",M10-G10)</x:f>
      </x:c>
      <x:c r="T10" s="13" t="str">
        <x:f>IF(COUNT(S10)=0,"",IF(S10&lt;=0,"Đạt","Vượt mục tiêu"))</x:f>
      </x:c>
      <x:c r="U10" s="11"/>
    </x:row>
    <x:row r="11" ht="23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4" t="str">
        <x:f>IF(COUNT(H11:L11)=0,"",AVERAGE(H11:L11))</x:f>
      </x:c>
      <x:c r="N11" s="14" t="str">
        <x:f>IF(COUNT(H11:L11)=0,"",MIN(H11:L11))</x:f>
      </x:c>
      <x:c r="O11" s="14" t="str">
        <x:f>IF(COUNT(H11:L11)=0,"",MAX(H11:L11))</x:f>
      </x:c>
      <x:c r="P11" s="14" t="str">
        <x:f>IF(OR(M11="",M11&lt;=0),"",60/M11)</x:f>
      </x:c>
      <x:c r="Q11" s="14" t="str">
        <x:f>IF(OR(M11="",M11&lt;=0,E11=""),"",E11*P11)</x:f>
      </x:c>
      <x:c r="R11" s="14" t="str">
        <x:f>IF(Q11="","",Q11*60)</x:f>
      </x:c>
      <x:c r="S11" s="14" t="str">
        <x:f>IF(OR(M11="",G11=""),"",M11-G11)</x:f>
      </x:c>
      <x:c r="T11" s="13" t="str">
        <x:f>IF(COUNT(S11)=0,"",IF(S11&lt;=0,"Đạt","Vượt mục tiêu"))</x:f>
      </x:c>
      <x:c r="U11" s="11"/>
    </x:row>
    <x:row r="12" ht="23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4" t="str">
        <x:f>IF(COUNT(H12:L12)=0,"",AVERAGE(H12:L12))</x:f>
      </x:c>
      <x:c r="N12" s="14" t="str">
        <x:f>IF(COUNT(H12:L12)=0,"",MIN(H12:L12))</x:f>
      </x:c>
      <x:c r="O12" s="14" t="str">
        <x:f>IF(COUNT(H12:L12)=0,"",MAX(H12:L12))</x:f>
      </x:c>
      <x:c r="P12" s="14" t="str">
        <x:f>IF(OR(M12="",M12&lt;=0),"",60/M12)</x:f>
      </x:c>
      <x:c r="Q12" s="14" t="str">
        <x:f>IF(OR(M12="",M12&lt;=0,E12=""),"",E12*P12)</x:f>
      </x:c>
      <x:c r="R12" s="14" t="str">
        <x:f>IF(Q12="","",Q12*60)</x:f>
      </x:c>
      <x:c r="S12" s="14" t="str">
        <x:f>IF(OR(M12="",G12=""),"",M12-G12)</x:f>
      </x:c>
      <x:c r="T12" s="13" t="str">
        <x:f>IF(COUNT(S12)=0,"",IF(S12&lt;=0,"Đạt","Vượt mục tiêu"))</x:f>
      </x:c>
      <x:c r="U12" s="11"/>
    </x:row>
    <x:row r="13" ht="23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4" t="str">
        <x:f>IF(COUNT(H13:L13)=0,"",AVERAGE(H13:L13))</x:f>
      </x:c>
      <x:c r="N13" s="14" t="str">
        <x:f>IF(COUNT(H13:L13)=0,"",MIN(H13:L13))</x:f>
      </x:c>
      <x:c r="O13" s="14" t="str">
        <x:f>IF(COUNT(H13:L13)=0,"",MAX(H13:L13))</x:f>
      </x:c>
      <x:c r="P13" s="14" t="str">
        <x:f>IF(OR(M13="",M13&lt;=0),"",60/M13)</x:f>
      </x:c>
      <x:c r="Q13" s="14" t="str">
        <x:f>IF(OR(M13="",M13&lt;=0,E13=""),"",E13*P13)</x:f>
      </x:c>
      <x:c r="R13" s="14" t="str">
        <x:f>IF(Q13="","",Q13*60)</x:f>
      </x:c>
      <x:c r="S13" s="14" t="str">
        <x:f>IF(OR(M13="",G13=""),"",M13-G13)</x:f>
      </x:c>
      <x:c r="T13" s="13" t="str">
        <x:f>IF(COUNT(S13)=0,"",IF(S13&lt;=0,"Đạt","Vượt mục tiêu"))</x:f>
      </x:c>
      <x:c r="U13" s="11"/>
    </x:row>
    <x:row r="14" ht="23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4" t="str">
        <x:f>IF(COUNT(H14:L14)=0,"",AVERAGE(H14:L14))</x:f>
      </x:c>
      <x:c r="N14" s="14" t="str">
        <x:f>IF(COUNT(H14:L14)=0,"",MIN(H14:L14))</x:f>
      </x:c>
      <x:c r="O14" s="14" t="str">
        <x:f>IF(COUNT(H14:L14)=0,"",MAX(H14:L14))</x:f>
      </x:c>
      <x:c r="P14" s="14" t="str">
        <x:f>IF(OR(M14="",M14&lt;=0),"",60/M14)</x:f>
      </x:c>
      <x:c r="Q14" s="14" t="str">
        <x:f>IF(OR(M14="",M14&lt;=0,E14=""),"",E14*P14)</x:f>
      </x:c>
      <x:c r="R14" s="14" t="str">
        <x:f>IF(Q14="","",Q14*60)</x:f>
      </x:c>
      <x:c r="S14" s="14" t="str">
        <x:f>IF(OR(M14="",G14=""),"",M14-G14)</x:f>
      </x:c>
      <x:c r="T14" s="13" t="str">
        <x:f>IF(COUNT(S14)=0,"",IF(S14&lt;=0,"Đạt","Vượt mục tiêu"))</x:f>
      </x:c>
      <x:c r="U14" s="11"/>
    </x:row>
    <x:row r="15" ht="23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4" t="str">
        <x:f>IF(COUNT(H15:L15)=0,"",AVERAGE(H15:L15))</x:f>
      </x:c>
      <x:c r="N15" s="14" t="str">
        <x:f>IF(COUNT(H15:L15)=0,"",MIN(H15:L15))</x:f>
      </x:c>
      <x:c r="O15" s="14" t="str">
        <x:f>IF(COUNT(H15:L15)=0,"",MAX(H15:L15))</x:f>
      </x:c>
      <x:c r="P15" s="14" t="str">
        <x:f>IF(OR(M15="",M15&lt;=0),"",60/M15)</x:f>
      </x:c>
      <x:c r="Q15" s="14" t="str">
        <x:f>IF(OR(M15="",M15&lt;=0,E15=""),"",E15*P15)</x:f>
      </x:c>
      <x:c r="R15" s="14" t="str">
        <x:f>IF(Q15="","",Q15*60)</x:f>
      </x:c>
      <x:c r="S15" s="14" t="str">
        <x:f>IF(OR(M15="",G15=""),"",M15-G15)</x:f>
      </x:c>
      <x:c r="T15" s="13" t="str">
        <x:f>IF(COUNT(S15)=0,"",IF(S15&lt;=0,"Đạt","Vượt mục tiêu"))</x:f>
      </x:c>
      <x:c r="U15" s="11"/>
    </x:row>
    <x:row r="16" ht="23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4" t="str">
        <x:f>IF(COUNT(H16:L16)=0,"",AVERAGE(H16:L16))</x:f>
      </x:c>
      <x:c r="N16" s="14" t="str">
        <x:f>IF(COUNT(H16:L16)=0,"",MIN(H16:L16))</x:f>
      </x:c>
      <x:c r="O16" s="14" t="str">
        <x:f>IF(COUNT(H16:L16)=0,"",MAX(H16:L16))</x:f>
      </x:c>
      <x:c r="P16" s="14" t="str">
        <x:f>IF(OR(M16="",M16&lt;=0),"",60/M16)</x:f>
      </x:c>
      <x:c r="Q16" s="14" t="str">
        <x:f>IF(OR(M16="",M16&lt;=0,E16=""),"",E16*P16)</x:f>
      </x:c>
      <x:c r="R16" s="14" t="str">
        <x:f>IF(Q16="","",Q16*60)</x:f>
      </x:c>
      <x:c r="S16" s="14" t="str">
        <x:f>IF(OR(M16="",G16=""),"",M16-G16)</x:f>
      </x:c>
      <x:c r="T16" s="13" t="str">
        <x:f>IF(COUNT(S16)=0,"",IF(S16&lt;=0,"Đạt","Vượt mục tiêu"))</x:f>
      </x:c>
      <x:c r="U16" s="11"/>
    </x:row>
    <x:row r="17" ht="23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4" t="str">
        <x:f>IF(COUNT(H17:L17)=0,"",AVERAGE(H17:L17))</x:f>
      </x:c>
      <x:c r="N17" s="14" t="str">
        <x:f>IF(COUNT(H17:L17)=0,"",MIN(H17:L17))</x:f>
      </x:c>
      <x:c r="O17" s="14" t="str">
        <x:f>IF(COUNT(H17:L17)=0,"",MAX(H17:L17))</x:f>
      </x:c>
      <x:c r="P17" s="14" t="str">
        <x:f>IF(OR(M17="",M17&lt;=0),"",60/M17)</x:f>
      </x:c>
      <x:c r="Q17" s="14" t="str">
        <x:f>IF(OR(M17="",M17&lt;=0,E17=""),"",E17*P17)</x:f>
      </x:c>
      <x:c r="R17" s="14" t="str">
        <x:f>IF(Q17="","",Q17*60)</x:f>
      </x:c>
      <x:c r="S17" s="14" t="str">
        <x:f>IF(OR(M17="",G17=""),"",M17-G17)</x:f>
      </x:c>
      <x:c r="T17" s="13" t="str">
        <x:f>IF(COUNT(S17)=0,"",IF(S17&lt;=0,"Đạt","Vượt mục tiêu"))</x:f>
      </x:c>
      <x:c r="U17" s="11"/>
    </x:row>
    <x:row r="18" ht="23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4" t="str">
        <x:f>IF(COUNT(H18:L18)=0,"",AVERAGE(H18:L18))</x:f>
      </x:c>
      <x:c r="N18" s="14" t="str">
        <x:f>IF(COUNT(H18:L18)=0,"",MIN(H18:L18))</x:f>
      </x:c>
      <x:c r="O18" s="14" t="str">
        <x:f>IF(COUNT(H18:L18)=0,"",MAX(H18:L18))</x:f>
      </x:c>
      <x:c r="P18" s="14" t="str">
        <x:f>IF(OR(M18="",M18&lt;=0),"",60/M18)</x:f>
      </x:c>
      <x:c r="Q18" s="14" t="str">
        <x:f>IF(OR(M18="",M18&lt;=0,E18=""),"",E18*P18)</x:f>
      </x:c>
      <x:c r="R18" s="14" t="str">
        <x:f>IF(Q18="","",Q18*60)</x:f>
      </x:c>
      <x:c r="S18" s="14" t="str">
        <x:f>IF(OR(M18="",G18=""),"",M18-G18)</x:f>
      </x:c>
      <x:c r="T18" s="13" t="str">
        <x:f>IF(COUNT(S18)=0,"",IF(S18&lt;=0,"Đạt","Vượt mục tiêu"))</x:f>
      </x:c>
      <x:c r="U18" s="11"/>
    </x:row>
    <x:row r="19" ht="23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4" t="str">
        <x:f>IF(COUNT(H19:L19)=0,"",AVERAGE(H19:L19))</x:f>
      </x:c>
      <x:c r="N19" s="14" t="str">
        <x:f>IF(COUNT(H19:L19)=0,"",MIN(H19:L19))</x:f>
      </x:c>
      <x:c r="O19" s="14" t="str">
        <x:f>IF(COUNT(H19:L19)=0,"",MAX(H19:L19))</x:f>
      </x:c>
      <x:c r="P19" s="14" t="str">
        <x:f>IF(OR(M19="",M19&lt;=0),"",60/M19)</x:f>
      </x:c>
      <x:c r="Q19" s="14" t="str">
        <x:f>IF(OR(M19="",M19&lt;=0,E19=""),"",E19*P19)</x:f>
      </x:c>
      <x:c r="R19" s="14" t="str">
        <x:f>IF(Q19="","",Q19*60)</x:f>
      </x:c>
      <x:c r="S19" s="14" t="str">
        <x:f>IF(OR(M19="",G19=""),"",M19-G19)</x:f>
      </x:c>
      <x:c r="T19" s="13" t="str">
        <x:f>IF(COUNT(S19)=0,"",IF(S19&lt;=0,"Đạt","Vượt mục tiêu"))</x:f>
      </x:c>
      <x:c r="U19" s="11"/>
    </x:row>
    <x:row r="20" ht="23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4" t="str">
        <x:f>IF(COUNT(H20:L20)=0,"",AVERAGE(H20:L20))</x:f>
      </x:c>
      <x:c r="N20" s="14" t="str">
        <x:f>IF(COUNT(H20:L20)=0,"",MIN(H20:L20))</x:f>
      </x:c>
      <x:c r="O20" s="14" t="str">
        <x:f>IF(COUNT(H20:L20)=0,"",MAX(H20:L20))</x:f>
      </x:c>
      <x:c r="P20" s="14" t="str">
        <x:f>IF(OR(M20="",M20&lt;=0),"",60/M20)</x:f>
      </x:c>
      <x:c r="Q20" s="14" t="str">
        <x:f>IF(OR(M20="",M20&lt;=0,E20=""),"",E20*P20)</x:f>
      </x:c>
      <x:c r="R20" s="14" t="str">
        <x:f>IF(Q20="","",Q20*60)</x:f>
      </x:c>
      <x:c r="S20" s="14" t="str">
        <x:f>IF(OR(M20="",G20=""),"",M20-G20)</x:f>
      </x:c>
      <x:c r="T20" s="13" t="str">
        <x:f>IF(COUNT(S20)=0,"",IF(S20&lt;=0,"Đạt","Vượt mục tiêu"))</x:f>
      </x:c>
      <x:c r="U20" s="11"/>
    </x:row>
    <x:row r="21" ht="23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4" t="str">
        <x:f>IF(COUNT(H21:L21)=0,"",AVERAGE(H21:L21))</x:f>
      </x:c>
      <x:c r="N21" s="14" t="str">
        <x:f>IF(COUNT(H21:L21)=0,"",MIN(H21:L21))</x:f>
      </x:c>
      <x:c r="O21" s="14" t="str">
        <x:f>IF(COUNT(H21:L21)=0,"",MAX(H21:L21))</x:f>
      </x:c>
      <x:c r="P21" s="14" t="str">
        <x:f>IF(OR(M21="",M21&lt;=0),"",60/M21)</x:f>
      </x:c>
      <x:c r="Q21" s="14" t="str">
        <x:f>IF(OR(M21="",M21&lt;=0,E21=""),"",E21*P21)</x:f>
      </x:c>
      <x:c r="R21" s="14" t="str">
        <x:f>IF(Q21="","",Q21*60)</x:f>
      </x:c>
      <x:c r="S21" s="14" t="str">
        <x:f>IF(OR(M21="",G21=""),"",M21-G21)</x:f>
      </x:c>
      <x:c r="T21" s="13" t="str">
        <x:f>IF(COUNT(S21)=0,"",IF(S21&lt;=0,"Đạt","Vượt mục tiêu"))</x:f>
      </x:c>
      <x:c r="U21" s="11"/>
    </x:row>
    <x:row r="22" ht="23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4" t="str">
        <x:f>IF(COUNT(H22:L22)=0,"",AVERAGE(H22:L22))</x:f>
      </x:c>
      <x:c r="N22" s="14" t="str">
        <x:f>IF(COUNT(H22:L22)=0,"",MIN(H22:L22))</x:f>
      </x:c>
      <x:c r="O22" s="14" t="str">
        <x:f>IF(COUNT(H22:L22)=0,"",MAX(H22:L22))</x:f>
      </x:c>
      <x:c r="P22" s="14" t="str">
        <x:f>IF(OR(M22="",M22&lt;=0),"",60/M22)</x:f>
      </x:c>
      <x:c r="Q22" s="14" t="str">
        <x:f>IF(OR(M22="",M22&lt;=0,E22=""),"",E22*P22)</x:f>
      </x:c>
      <x:c r="R22" s="14" t="str">
        <x:f>IF(Q22="","",Q22*60)</x:f>
      </x:c>
      <x:c r="S22" s="14" t="str">
        <x:f>IF(OR(M22="",G22=""),"",M22-G22)</x:f>
      </x:c>
      <x:c r="T22" s="13" t="str">
        <x:f>IF(COUNT(S22)=0,"",IF(S22&lt;=0,"Đạt","Vượt mục tiêu"))</x:f>
      </x:c>
      <x:c r="U22" s="11"/>
    </x:row>
    <x:row r="23" ht="23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4" t="str">
        <x:f>IF(COUNT(H23:L23)=0,"",AVERAGE(H23:L23))</x:f>
      </x:c>
      <x:c r="N23" s="14" t="str">
        <x:f>IF(COUNT(H23:L23)=0,"",MIN(H23:L23))</x:f>
      </x:c>
      <x:c r="O23" s="14" t="str">
        <x:f>IF(COUNT(H23:L23)=0,"",MAX(H23:L23))</x:f>
      </x:c>
      <x:c r="P23" s="14" t="str">
        <x:f>IF(OR(M23="",M23&lt;=0),"",60/M23)</x:f>
      </x:c>
      <x:c r="Q23" s="14" t="str">
        <x:f>IF(OR(M23="",M23&lt;=0,E23=""),"",E23*P23)</x:f>
      </x:c>
      <x:c r="R23" s="14" t="str">
        <x:f>IF(Q23="","",Q23*60)</x:f>
      </x:c>
      <x:c r="S23" s="14" t="str">
        <x:f>IF(OR(M23="",G23=""),"",M23-G23)</x:f>
      </x:c>
      <x:c r="T23" s="13" t="str">
        <x:f>IF(COUNT(S23)=0,"",IF(S23&lt;=0,"Đạt","Vượt mục tiêu"))</x:f>
      </x:c>
      <x:c r="U23" s="11"/>
    </x:row>
    <x:row r="24" ht="23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4" t="str">
        <x:f>IF(COUNT(H24:L24)=0,"",AVERAGE(H24:L24))</x:f>
      </x:c>
      <x:c r="N24" s="14" t="str">
        <x:f>IF(COUNT(H24:L24)=0,"",MIN(H24:L24))</x:f>
      </x:c>
      <x:c r="O24" s="14" t="str">
        <x:f>IF(COUNT(H24:L24)=0,"",MAX(H24:L24))</x:f>
      </x:c>
      <x:c r="P24" s="14" t="str">
        <x:f>IF(OR(M24="",M24&lt;=0),"",60/M24)</x:f>
      </x:c>
      <x:c r="Q24" s="14" t="str">
        <x:f>IF(OR(M24="",M24&lt;=0,E24=""),"",E24*P24)</x:f>
      </x:c>
      <x:c r="R24" s="14" t="str">
        <x:f>IF(Q24="","",Q24*60)</x:f>
      </x:c>
      <x:c r="S24" s="14" t="str">
        <x:f>IF(OR(M24="",G24=""),"",M24-G24)</x:f>
      </x:c>
      <x:c r="T24" s="13" t="str">
        <x:f>IF(COUNT(S24)=0,"",IF(S24&lt;=0,"Đạt","Vượt mục tiêu"))</x:f>
      </x:c>
      <x:c r="U24" s="11"/>
    </x:row>
    <x:row r="25" ht="23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4" t="str">
        <x:f>IF(COUNT(H25:L25)=0,"",AVERAGE(H25:L25))</x:f>
      </x:c>
      <x:c r="N25" s="14" t="str">
        <x:f>IF(COUNT(H25:L25)=0,"",MIN(H25:L25))</x:f>
      </x:c>
      <x:c r="O25" s="14" t="str">
        <x:f>IF(COUNT(H25:L25)=0,"",MAX(H25:L25))</x:f>
      </x:c>
      <x:c r="P25" s="14" t="str">
        <x:f>IF(OR(M25="",M25&lt;=0),"",60/M25)</x:f>
      </x:c>
      <x:c r="Q25" s="14" t="str">
        <x:f>IF(OR(M25="",M25&lt;=0,E25=""),"",E25*P25)</x:f>
      </x:c>
      <x:c r="R25" s="14" t="str">
        <x:f>IF(Q25="","",Q25*60)</x:f>
      </x:c>
      <x:c r="S25" s="14" t="str">
        <x:f>IF(OR(M25="",G25=""),"",M25-G25)</x:f>
      </x:c>
      <x:c r="T25" s="13" t="str">
        <x:f>IF(COUNT(S25)=0,"",IF(S25&lt;=0,"Đạt","Vượt mục tiêu"))</x:f>
      </x:c>
      <x:c r="U25" s="11"/>
    </x:row>
    <x:row r="26" ht="23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4" t="str">
        <x:f>IF(COUNT(H26:L26)=0,"",AVERAGE(H26:L26))</x:f>
      </x:c>
      <x:c r="N26" s="14" t="str">
        <x:f>IF(COUNT(H26:L26)=0,"",MIN(H26:L26))</x:f>
      </x:c>
      <x:c r="O26" s="14" t="str">
        <x:f>IF(COUNT(H26:L26)=0,"",MAX(H26:L26))</x:f>
      </x:c>
      <x:c r="P26" s="14" t="str">
        <x:f>IF(OR(M26="",M26&lt;=0),"",60/M26)</x:f>
      </x:c>
      <x:c r="Q26" s="14" t="str">
        <x:f>IF(OR(M26="",M26&lt;=0,E26=""),"",E26*P26)</x:f>
      </x:c>
      <x:c r="R26" s="14" t="str">
        <x:f>IF(Q26="","",Q26*60)</x:f>
      </x:c>
      <x:c r="S26" s="14" t="str">
        <x:f>IF(OR(M26="",G26=""),"",M26-G26)</x:f>
      </x:c>
      <x:c r="T26" s="13" t="str">
        <x:f>IF(COUNT(S26)=0,"",IF(S26&lt;=0,"Đạt","Vượt mục tiêu"))</x:f>
      </x:c>
      <x:c r="U26" s="11"/>
    </x:row>
    <x:row r="27" ht="23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4" t="str">
        <x:f>IF(COUNT(H27:L27)=0,"",AVERAGE(H27:L27))</x:f>
      </x:c>
      <x:c r="N27" s="14" t="str">
        <x:f>IF(COUNT(H27:L27)=0,"",MIN(H27:L27))</x:f>
      </x:c>
      <x:c r="O27" s="14" t="str">
        <x:f>IF(COUNT(H27:L27)=0,"",MAX(H27:L27))</x:f>
      </x:c>
      <x:c r="P27" s="14" t="str">
        <x:f>IF(OR(M27="",M27&lt;=0),"",60/M27)</x:f>
      </x:c>
      <x:c r="Q27" s="14" t="str">
        <x:f>IF(OR(M27="",M27&lt;=0,E27=""),"",E27*P27)</x:f>
      </x:c>
      <x:c r="R27" s="14" t="str">
        <x:f>IF(Q27="","",Q27*60)</x:f>
      </x:c>
      <x:c r="S27" s="14" t="str">
        <x:f>IF(OR(M27="",G27=""),"",M27-G27)</x:f>
      </x:c>
      <x:c r="T27" s="13" t="str">
        <x:f>IF(COUNT(S27)=0,"",IF(S27&lt;=0,"Đạt","Vượt mục tiêu"))</x:f>
      </x:c>
      <x:c r="U27" s="11"/>
    </x:row>
    <x:row r="28" ht="23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4" t="str">
        <x:f>IF(COUNT(H28:L28)=0,"",AVERAGE(H28:L28))</x:f>
      </x:c>
      <x:c r="N28" s="14" t="str">
        <x:f>IF(COUNT(H28:L28)=0,"",MIN(H28:L28))</x:f>
      </x:c>
      <x:c r="O28" s="14" t="str">
        <x:f>IF(COUNT(H28:L28)=0,"",MAX(H28:L28))</x:f>
      </x:c>
      <x:c r="P28" s="14" t="str">
        <x:f>IF(OR(M28="",M28&lt;=0),"",60/M28)</x:f>
      </x:c>
      <x:c r="Q28" s="14" t="str">
        <x:f>IF(OR(M28="",M28&lt;=0,E28=""),"",E28*P28)</x:f>
      </x:c>
      <x:c r="R28" s="14" t="str">
        <x:f>IF(Q28="","",Q28*60)</x:f>
      </x:c>
      <x:c r="S28" s="14" t="str">
        <x:f>IF(OR(M28="",G28=""),"",M28-G28)</x:f>
      </x:c>
      <x:c r="T28" s="13" t="str">
        <x:f>IF(COUNT(S28)=0,"",IF(S28&lt;=0,"Đạt","Vượt mục tiêu"))</x:f>
      </x:c>
      <x:c r="U28" s="11"/>
    </x:row>
    <x:row r="29" ht="23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4" t="str">
        <x:f>IF(COUNT(H29:L29)=0,"",AVERAGE(H29:L29))</x:f>
      </x:c>
      <x:c r="N29" s="14" t="str">
        <x:f>IF(COUNT(H29:L29)=0,"",MIN(H29:L29))</x:f>
      </x:c>
      <x:c r="O29" s="14" t="str">
        <x:f>IF(COUNT(H29:L29)=0,"",MAX(H29:L29))</x:f>
      </x:c>
      <x:c r="P29" s="14" t="str">
        <x:f>IF(OR(M29="",M29&lt;=0),"",60/M29)</x:f>
      </x:c>
      <x:c r="Q29" s="14" t="str">
        <x:f>IF(OR(M29="",M29&lt;=0,E29=""),"",E29*P29)</x:f>
      </x:c>
      <x:c r="R29" s="14" t="str">
        <x:f>IF(Q29="","",Q29*60)</x:f>
      </x:c>
      <x:c r="S29" s="14" t="str">
        <x:f>IF(OR(M29="",G29=""),"",M29-G29)</x:f>
      </x:c>
      <x:c r="T29" s="13" t="str">
        <x:f>IF(COUNT(S29)=0,"",IF(S29&lt;=0,"Đạt","Vượt mục tiêu"))</x:f>
      </x:c>
      <x:c r="U29" s="11"/>
    </x:row>
    <x:row r="30" ht="23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4" t="str">
        <x:f>IF(COUNT(H30:L30)=0,"",AVERAGE(H30:L30))</x:f>
      </x:c>
      <x:c r="N30" s="14" t="str">
        <x:f>IF(COUNT(H30:L30)=0,"",MIN(H30:L30))</x:f>
      </x:c>
      <x:c r="O30" s="14" t="str">
        <x:f>IF(COUNT(H30:L30)=0,"",MAX(H30:L30))</x:f>
      </x:c>
      <x:c r="P30" s="14" t="str">
        <x:f>IF(OR(M30="",M30&lt;=0),"",60/M30)</x:f>
      </x:c>
      <x:c r="Q30" s="14" t="str">
        <x:f>IF(OR(M30="",M30&lt;=0,E30=""),"",E30*P30)</x:f>
      </x:c>
      <x:c r="R30" s="14" t="str">
        <x:f>IF(Q30="","",Q30*60)</x:f>
      </x:c>
      <x:c r="S30" s="14" t="str">
        <x:f>IF(OR(M30="",G30=""),"",M30-G30)</x:f>
      </x:c>
      <x:c r="T30" s="13" t="str">
        <x:f>IF(COUNT(S30)=0,"",IF(S30&lt;=0,"Đạt","Vượt mục tiêu"))</x:f>
      </x:c>
      <x:c r="U30" s="11"/>
    </x:row>
    <x:row r="31" ht="23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4" t="str">
        <x:f>IF(COUNT(H31:L31)=0,"",AVERAGE(H31:L31))</x:f>
      </x:c>
      <x:c r="N31" s="14" t="str">
        <x:f>IF(COUNT(H31:L31)=0,"",MIN(H31:L31))</x:f>
      </x:c>
      <x:c r="O31" s="14" t="str">
        <x:f>IF(COUNT(H31:L31)=0,"",MAX(H31:L31))</x:f>
      </x:c>
      <x:c r="P31" s="14" t="str">
        <x:f>IF(OR(M31="",M31&lt;=0),"",60/M31)</x:f>
      </x:c>
      <x:c r="Q31" s="14" t="str">
        <x:f>IF(OR(M31="",M31&lt;=0,E31=""),"",E31*P31)</x:f>
      </x:c>
      <x:c r="R31" s="14" t="str">
        <x:f>IF(Q31="","",Q31*60)</x:f>
      </x:c>
      <x:c r="S31" s="14" t="str">
        <x:f>IF(OR(M31="",G31=""),"",M31-G31)</x:f>
      </x:c>
      <x:c r="T31" s="13" t="str">
        <x:f>IF(COUNT(S31)=0,"",IF(S31&lt;=0,"Đạt","Vượt mục tiêu"))</x:f>
      </x:c>
      <x:c r="U31" s="11"/>
    </x:row>
    <x:row r="32" ht="23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4" t="str">
        <x:f>IF(COUNT(H32:L32)=0,"",AVERAGE(H32:L32))</x:f>
      </x:c>
      <x:c r="N32" s="14" t="str">
        <x:f>IF(COUNT(H32:L32)=0,"",MIN(H32:L32))</x:f>
      </x:c>
      <x:c r="O32" s="14" t="str">
        <x:f>IF(COUNT(H32:L32)=0,"",MAX(H32:L32))</x:f>
      </x:c>
      <x:c r="P32" s="14" t="str">
        <x:f>IF(OR(M32="",M32&lt;=0),"",60/M32)</x:f>
      </x:c>
      <x:c r="Q32" s="14" t="str">
        <x:f>IF(OR(M32="",M32&lt;=0,E32=""),"",E32*P32)</x:f>
      </x:c>
      <x:c r="R32" s="14" t="str">
        <x:f>IF(Q32="","",Q32*60)</x:f>
      </x:c>
      <x:c r="S32" s="14" t="str">
        <x:f>IF(OR(M32="",G32=""),"",M32-G32)</x:f>
      </x:c>
      <x:c r="T32" s="13" t="str">
        <x:f>IF(COUNT(S32)=0,"",IF(S32&lt;=0,"Đạt","Vượt mục tiêu"))</x:f>
      </x:c>
      <x:c r="U32" s="11"/>
    </x:row>
    <x:row r="33" ht="23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4" t="str">
        <x:f>IF(COUNT(H33:L33)=0,"",AVERAGE(H33:L33))</x:f>
      </x:c>
      <x:c r="N33" s="14" t="str">
        <x:f>IF(COUNT(H33:L33)=0,"",MIN(H33:L33))</x:f>
      </x:c>
      <x:c r="O33" s="14" t="str">
        <x:f>IF(COUNT(H33:L33)=0,"",MAX(H33:L33))</x:f>
      </x:c>
      <x:c r="P33" s="14" t="str">
        <x:f>IF(OR(M33="",M33&lt;=0),"",60/M33)</x:f>
      </x:c>
      <x:c r="Q33" s="14" t="str">
        <x:f>IF(OR(M33="",M33&lt;=0,E33=""),"",E33*P33)</x:f>
      </x:c>
      <x:c r="R33" s="14" t="str">
        <x:f>IF(Q33="","",Q33*60)</x:f>
      </x:c>
      <x:c r="S33" s="14" t="str">
        <x:f>IF(OR(M33="",G33=""),"",M33-G33)</x:f>
      </x:c>
      <x:c r="T33" s="13" t="str">
        <x:f>IF(COUNT(S33)=0,"",IF(S33&lt;=0,"Đạt","Vượt mục tiêu"))</x:f>
      </x:c>
      <x:c r="U33" s="11"/>
    </x:row>
    <x:row r="34" ht="23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4" t="str">
        <x:f>IF(COUNT(H34:L34)=0,"",AVERAGE(H34:L34))</x:f>
      </x:c>
      <x:c r="N34" s="14" t="str">
        <x:f>IF(COUNT(H34:L34)=0,"",MIN(H34:L34))</x:f>
      </x:c>
      <x:c r="O34" s="14" t="str">
        <x:f>IF(COUNT(H34:L34)=0,"",MAX(H34:L34))</x:f>
      </x:c>
      <x:c r="P34" s="14" t="str">
        <x:f>IF(OR(M34="",M34&lt;=0),"",60/M34)</x:f>
      </x:c>
      <x:c r="Q34" s="14" t="str">
        <x:f>IF(OR(M34="",M34&lt;=0,E34=""),"",E34*P34)</x:f>
      </x:c>
      <x:c r="R34" s="14" t="str">
        <x:f>IF(Q34="","",Q34*60)</x:f>
      </x:c>
      <x:c r="S34" s="14" t="str">
        <x:f>IF(OR(M34="",G34=""),"",M34-G34)</x:f>
      </x:c>
      <x:c r="T34" s="13" t="str">
        <x:f>IF(COUNT(S34)=0,"",IF(S34&lt;=0,"Đạt","Vượt mục tiêu"))</x:f>
      </x:c>
      <x:c r="U34" s="11"/>
    </x:row>
    <x:row r="35" ht="23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4" t="str">
        <x:f>IF(COUNT(H35:L35)=0,"",AVERAGE(H35:L35))</x:f>
      </x:c>
      <x:c r="N35" s="14" t="str">
        <x:f>IF(COUNT(H35:L35)=0,"",MIN(H35:L35))</x:f>
      </x:c>
      <x:c r="O35" s="14" t="str">
        <x:f>IF(COUNT(H35:L35)=0,"",MAX(H35:L35))</x:f>
      </x:c>
      <x:c r="P35" s="14" t="str">
        <x:f>IF(OR(M35="",M35&lt;=0),"",60/M35)</x:f>
      </x:c>
      <x:c r="Q35" s="14" t="str">
        <x:f>IF(OR(M35="",M35&lt;=0,E35=""),"",E35*P35)</x:f>
      </x:c>
      <x:c r="R35" s="14" t="str">
        <x:f>IF(Q35="","",Q35*60)</x:f>
      </x:c>
      <x:c r="S35" s="14" t="str">
        <x:f>IF(OR(M35="",G35=""),"",M35-G35)</x:f>
      </x:c>
      <x:c r="T35" s="13" t="str">
        <x:f>IF(COUNT(S35)=0,"",IF(S35&lt;=0,"Đạt","Vượt mục tiêu"))</x:f>
      </x:c>
      <x:c r="U35" s="11"/>
    </x:row>
    <x:row r="36" ht="23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4" t="str">
        <x:f>IF(COUNT(H36:L36)=0,"",AVERAGE(H36:L36))</x:f>
      </x:c>
      <x:c r="N36" s="14" t="str">
        <x:f>IF(COUNT(H36:L36)=0,"",MIN(H36:L36))</x:f>
      </x:c>
      <x:c r="O36" s="14" t="str">
        <x:f>IF(COUNT(H36:L36)=0,"",MAX(H36:L36))</x:f>
      </x:c>
      <x:c r="P36" s="14" t="str">
        <x:f>IF(OR(M36="",M36&lt;=0),"",60/M36)</x:f>
      </x:c>
      <x:c r="Q36" s="14" t="str">
        <x:f>IF(OR(M36="",M36&lt;=0,E36=""),"",E36*P36)</x:f>
      </x:c>
      <x:c r="R36" s="14" t="str">
        <x:f>IF(Q36="","",Q36*60)</x:f>
      </x:c>
      <x:c r="S36" s="14" t="str">
        <x:f>IF(OR(M36="",G36=""),"",M36-G36)</x:f>
      </x:c>
      <x:c r="T36" s="13" t="str">
        <x:f>IF(COUNT(S36)=0,"",IF(S36&lt;=0,"Đạt","Vượt mục tiêu"))</x:f>
      </x:c>
      <x:c r="U36" s="11"/>
    </x:row>
    <x:row r="37" ht="23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4" t="str">
        <x:f>IF(COUNT(H37:L37)=0,"",AVERAGE(H37:L37))</x:f>
      </x:c>
      <x:c r="N37" s="14" t="str">
        <x:f>IF(COUNT(H37:L37)=0,"",MIN(H37:L37))</x:f>
      </x:c>
      <x:c r="O37" s="14" t="str">
        <x:f>IF(COUNT(H37:L37)=0,"",MAX(H37:L37))</x:f>
      </x:c>
      <x:c r="P37" s="14" t="str">
        <x:f>IF(OR(M37="",M37&lt;=0),"",60/M37)</x:f>
      </x:c>
      <x:c r="Q37" s="14" t="str">
        <x:f>IF(OR(M37="",M37&lt;=0,E37=""),"",E37*P37)</x:f>
      </x:c>
      <x:c r="R37" s="14" t="str">
        <x:f>IF(Q37="","",Q37*60)</x:f>
      </x:c>
      <x:c r="S37" s="14" t="str">
        <x:f>IF(OR(M37="",G37=""),"",M37-G37)</x:f>
      </x:c>
      <x:c r="T37" s="13" t="str">
        <x:f>IF(COUNT(S37)=0,"",IF(S37&lt;=0,"Đạt","Vượt mục tiêu"))</x:f>
      </x:c>
      <x:c r="U37" s="11"/>
    </x:row>
    <x:row r="38" ht="23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4" t="str">
        <x:f>IF(COUNT(H38:L38)=0,"",AVERAGE(H38:L38))</x:f>
      </x:c>
      <x:c r="N38" s="14" t="str">
        <x:f>IF(COUNT(H38:L38)=0,"",MIN(H38:L38))</x:f>
      </x:c>
      <x:c r="O38" s="14" t="str">
        <x:f>IF(COUNT(H38:L38)=0,"",MAX(H38:L38))</x:f>
      </x:c>
      <x:c r="P38" s="14" t="str">
        <x:f>IF(OR(M38="",M38&lt;=0),"",60/M38)</x:f>
      </x:c>
      <x:c r="Q38" s="14" t="str">
        <x:f>IF(OR(M38="",M38&lt;=0,E38=""),"",E38*P38)</x:f>
      </x:c>
      <x:c r="R38" s="14" t="str">
        <x:f>IF(Q38="","",Q38*60)</x:f>
      </x:c>
      <x:c r="S38" s="14" t="str">
        <x:f>IF(OR(M38="",G38=""),"",M38-G38)</x:f>
      </x:c>
      <x:c r="T38" s="13" t="str">
        <x:f>IF(COUNT(S38)=0,"",IF(S38&lt;=0,"Đạt","Vượt mục tiêu"))</x:f>
      </x:c>
      <x:c r="U38" s="1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</x:sheetData>
  <x:conditionalFormatting sqref="T9:T38">
    <x:cfRule type="containsText" dxfId="0" priority="1" operator="containsText" text="Vượt"/>
  </x:conditionalFormatting>
  <x:dataValidations count="1">
    <x:dataValidation type="decimal" operator="greaterThan" sqref="H9:L38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87a1f7a9a643c5"/>
  </x:tableParts>
</x:worksheet>
</file>