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0f8d45eba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cle_Time_Record" sheetId="1" r:id="R7f3a6c333388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22B3B"/>
      </x:font>
      <x:fill>
        <x:patternFill patternType="solid">
          <x:bgColor rgb="FFFBE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323906e0a4544" /><Relationship Type="http://schemas.openxmlformats.org/officeDocument/2006/relationships/theme" Target="/xl/theme/theme1.xml" Id="Rcac3cc158e804d2e" /><Relationship Type="http://schemas.openxmlformats.org/officeDocument/2006/relationships/sharedStrings" Target="/xl/sharedStrings.xml" Id="R8a96fefb838542ba" /><Relationship Type="http://schemas.openxmlformats.org/officeDocument/2006/relationships/worksheet" Target="/xl/worksheets/sheet1.xml" Id="R7f3a6c333388401a" /></Relationships>
</file>

<file path=xl/tables/table1.xml><?xml version="1.0" encoding="utf-8"?>
<x:table xmlns:x="http://schemas.openxmlformats.org/spreadsheetml/2006/main" id="1" name="CycleTimeRecordTable" displayName="CycleTimeRecordTable" ref="A8:S38" headerRowCount="1" totalsRowCount="0" totalsRowShown="0">
  <x:tableColumns count="19">
    <x:tableColumn id="1" name="Model"/>
    <x:tableColumn id="2" name="Trạm / Robot"/>
    <x:tableColumn id="3" name="SL/chu kỳ"/>
    <x:tableColumn id="4" name="Đơn vị"/>
    <x:tableColumn id="5" name="CT yêu cầu (s)"/>
    <x:tableColumn id="6" name="Lần 1 (s)"/>
    <x:tableColumn id="7" name="Lần 2 (s)"/>
    <x:tableColumn id="8" name="Lần 3 (s)"/>
    <x:tableColumn id="9" name="Lần 4 (s)"/>
    <x:tableColumn id="10" name="Lần 5 (s)"/>
    <x:tableColumn id="11" name="CT TB (s)"/>
    <x:tableColumn id="12" name="Min (s)"/>
    <x:tableColumn id="13" name="Max (s)"/>
    <x:tableColumn id="14" name="Chu kỳ/phút"/>
    <x:tableColumn id="15" name="SL/phút"/>
    <x:tableColumn id="16" name="SL/giờ"/>
    <x:tableColumn id="17" name="Lệch CT (s)"/>
    <x:tableColumn id="18" name="Kết luận"/>
    <x:tableColumn id="19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2f8976bfff48de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2" customHeight="1">
      <x:c r="A2" s="3" t="str">
        <x:v>Cycle Time Record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3" customHeight="1">
      <x:c r="A6" s="6" t="str">
        <x:v>Đo cùng điều kiện tải/speed. Năng suất chỉ có ý nghĩa khi đo đủ một chu kỳ; trạm song song không cộng CT.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42" customHeight="1">
      <x:c r="A8" s="10" t="str">
        <x:v>Model</x:v>
      </x:c>
      <x:c r="B8" s="10" t="str">
        <x:v>Trạm / Robot</x:v>
      </x:c>
      <x:c r="C8" s="10" t="str">
        <x:v>SL/chu kỳ</x:v>
      </x:c>
      <x:c r="D8" s="10" t="str">
        <x:v>Đơn vị</x:v>
      </x:c>
      <x:c r="E8" s="10" t="str">
        <x:v>CT yêu cầu (s)</x:v>
      </x:c>
      <x:c r="F8" s="10" t="str">
        <x:v>Lần 1 (s)</x:v>
      </x:c>
      <x:c r="G8" s="10" t="str">
        <x:v>Lần 2 (s)</x:v>
      </x:c>
      <x:c r="H8" s="10" t="str">
        <x:v>Lần 3 (s)</x:v>
      </x:c>
      <x:c r="I8" s="10" t="str">
        <x:v>Lần 4 (s)</x:v>
      </x:c>
      <x:c r="J8" s="10" t="str">
        <x:v>Lần 5 (s)</x:v>
      </x:c>
      <x:c r="K8" s="10" t="str">
        <x:v>CT TB (s)</x:v>
      </x:c>
      <x:c r="L8" s="10" t="str">
        <x:v>Min (s)</x:v>
      </x:c>
      <x:c r="M8" s="10" t="str">
        <x:v>Max (s)</x:v>
      </x:c>
      <x:c r="N8" s="10" t="str">
        <x:v>Chu kỳ/phút</x:v>
      </x:c>
      <x:c r="O8" s="10" t="str">
        <x:v>SL/phút</x:v>
      </x:c>
      <x:c r="P8" s="10" t="str">
        <x:v>SL/giờ</x:v>
      </x:c>
      <x:c r="Q8" s="10" t="str">
        <x:v>Lệch CT (s)</x:v>
      </x:c>
      <x:c r="R8" s="10" t="str">
        <x:v>Kết luận</x:v>
      </x:c>
      <x:c r="S8" s="10" t="str">
        <x:v>Ghi chú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4" t="str">
        <x:f>IF(COUNT(F9:J9)=0,"",AVERAGE(F9:J9))</x:f>
      </x:c>
      <x:c r="L9" s="14" t="str">
        <x:f>IF(COUNT(F9:J9)=0,"",MIN(F9:J9))</x:f>
      </x:c>
      <x:c r="M9" s="14" t="str">
        <x:f>IF(COUNT(F9:J9)=0,"",MAX(F9:J9))</x:f>
      </x:c>
      <x:c r="N9" s="14" t="str">
        <x:f>IF(OR(K9="",K9&lt;=0),"",60/K9)</x:f>
      </x:c>
      <x:c r="O9" s="14" t="str">
        <x:f>IF(OR(K9="",K9&lt;=0,C9=""),"",C9*N9)</x:f>
      </x:c>
      <x:c r="P9" s="14" t="str">
        <x:f>IF(O9="","",O9*60)</x:f>
      </x:c>
      <x:c r="Q9" s="14" t="str">
        <x:f>IF(OR(K9="",E9=""),"",K9-E9)</x:f>
      </x:c>
      <x:c r="R9" s="13" t="str">
        <x:f>IF(COUNT(Q9)=0,"",IF(Q9&lt;=0,"Đạt","Vượt mục tiêu"))</x:f>
      </x:c>
      <x:c r="S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4" t="str">
        <x:f>IF(COUNT(F10:J10)=0,"",AVERAGE(F10:J10))</x:f>
      </x:c>
      <x:c r="L10" s="14" t="str">
        <x:f>IF(COUNT(F10:J10)=0,"",MIN(F10:J10))</x:f>
      </x:c>
      <x:c r="M10" s="14" t="str">
        <x:f>IF(COUNT(F10:J10)=0,"",MAX(F10:J10))</x:f>
      </x:c>
      <x:c r="N10" s="14" t="str">
        <x:f>IF(OR(K10="",K10&lt;=0),"",60/K10)</x:f>
      </x:c>
      <x:c r="O10" s="14" t="str">
        <x:f>IF(OR(K10="",K10&lt;=0,C10=""),"",C10*N10)</x:f>
      </x:c>
      <x:c r="P10" s="14" t="str">
        <x:f>IF(O10="","",O10*60)</x:f>
      </x:c>
      <x:c r="Q10" s="14" t="str">
        <x:f>IF(OR(K10="",E10=""),"",K10-E10)</x:f>
      </x:c>
      <x:c r="R10" s="13" t="str">
        <x:f>IF(COUNT(Q10)=0,"",IF(Q10&lt;=0,"Đạt","Vượt mục tiêu"))</x:f>
      </x:c>
      <x:c r="S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4" t="str">
        <x:f>IF(COUNT(F11:J11)=0,"",AVERAGE(F11:J11))</x:f>
      </x:c>
      <x:c r="L11" s="14" t="str">
        <x:f>IF(COUNT(F11:J11)=0,"",MIN(F11:J11))</x:f>
      </x:c>
      <x:c r="M11" s="14" t="str">
        <x:f>IF(COUNT(F11:J11)=0,"",MAX(F11:J11))</x:f>
      </x:c>
      <x:c r="N11" s="14" t="str">
        <x:f>IF(OR(K11="",K11&lt;=0),"",60/K11)</x:f>
      </x:c>
      <x:c r="O11" s="14" t="str">
        <x:f>IF(OR(K11="",K11&lt;=0,C11=""),"",C11*N11)</x:f>
      </x:c>
      <x:c r="P11" s="14" t="str">
        <x:f>IF(O11="","",O11*60)</x:f>
      </x:c>
      <x:c r="Q11" s="14" t="str">
        <x:f>IF(OR(K11="",E11=""),"",K11-E11)</x:f>
      </x:c>
      <x:c r="R11" s="13" t="str">
        <x:f>IF(COUNT(Q11)=0,"",IF(Q11&lt;=0,"Đạt","Vượt mục tiêu"))</x:f>
      </x:c>
      <x:c r="S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4" t="str">
        <x:f>IF(COUNT(F12:J12)=0,"",AVERAGE(F12:J12))</x:f>
      </x:c>
      <x:c r="L12" s="14" t="str">
        <x:f>IF(COUNT(F12:J12)=0,"",MIN(F12:J12))</x:f>
      </x:c>
      <x:c r="M12" s="14" t="str">
        <x:f>IF(COUNT(F12:J12)=0,"",MAX(F12:J12))</x:f>
      </x:c>
      <x:c r="N12" s="14" t="str">
        <x:f>IF(OR(K12="",K12&lt;=0),"",60/K12)</x:f>
      </x:c>
      <x:c r="O12" s="14" t="str">
        <x:f>IF(OR(K12="",K12&lt;=0,C12=""),"",C12*N12)</x:f>
      </x:c>
      <x:c r="P12" s="14" t="str">
        <x:f>IF(O12="","",O12*60)</x:f>
      </x:c>
      <x:c r="Q12" s="14" t="str">
        <x:f>IF(OR(K12="",E12=""),"",K12-E12)</x:f>
      </x:c>
      <x:c r="R12" s="13" t="str">
        <x:f>IF(COUNT(Q12)=0,"",IF(Q12&lt;=0,"Đạt","Vượt mục tiêu"))</x:f>
      </x:c>
      <x:c r="S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4" t="str">
        <x:f>IF(COUNT(F13:J13)=0,"",AVERAGE(F13:J13))</x:f>
      </x:c>
      <x:c r="L13" s="14" t="str">
        <x:f>IF(COUNT(F13:J13)=0,"",MIN(F13:J13))</x:f>
      </x:c>
      <x:c r="M13" s="14" t="str">
        <x:f>IF(COUNT(F13:J13)=0,"",MAX(F13:J13))</x:f>
      </x:c>
      <x:c r="N13" s="14" t="str">
        <x:f>IF(OR(K13="",K13&lt;=0),"",60/K13)</x:f>
      </x:c>
      <x:c r="O13" s="14" t="str">
        <x:f>IF(OR(K13="",K13&lt;=0,C13=""),"",C13*N13)</x:f>
      </x:c>
      <x:c r="P13" s="14" t="str">
        <x:f>IF(O13="","",O13*60)</x:f>
      </x:c>
      <x:c r="Q13" s="14" t="str">
        <x:f>IF(OR(K13="",E13=""),"",K13-E13)</x:f>
      </x:c>
      <x:c r="R13" s="13" t="str">
        <x:f>IF(COUNT(Q13)=0,"",IF(Q13&lt;=0,"Đạt","Vượt mục tiêu"))</x:f>
      </x:c>
      <x:c r="S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4" t="str">
        <x:f>IF(COUNT(F14:J14)=0,"",AVERAGE(F14:J14))</x:f>
      </x:c>
      <x:c r="L14" s="14" t="str">
        <x:f>IF(COUNT(F14:J14)=0,"",MIN(F14:J14))</x:f>
      </x:c>
      <x:c r="M14" s="14" t="str">
        <x:f>IF(COUNT(F14:J14)=0,"",MAX(F14:J14))</x:f>
      </x:c>
      <x:c r="N14" s="14" t="str">
        <x:f>IF(OR(K14="",K14&lt;=0),"",60/K14)</x:f>
      </x:c>
      <x:c r="O14" s="14" t="str">
        <x:f>IF(OR(K14="",K14&lt;=0,C14=""),"",C14*N14)</x:f>
      </x:c>
      <x:c r="P14" s="14" t="str">
        <x:f>IF(O14="","",O14*60)</x:f>
      </x:c>
      <x:c r="Q14" s="14" t="str">
        <x:f>IF(OR(K14="",E14=""),"",K14-E14)</x:f>
      </x:c>
      <x:c r="R14" s="13" t="str">
        <x:f>IF(COUNT(Q14)=0,"",IF(Q14&lt;=0,"Đạt","Vượt mục tiêu"))</x:f>
      </x:c>
      <x:c r="S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4" t="str">
        <x:f>IF(COUNT(F15:J15)=0,"",AVERAGE(F15:J15))</x:f>
      </x:c>
      <x:c r="L15" s="14" t="str">
        <x:f>IF(COUNT(F15:J15)=0,"",MIN(F15:J15))</x:f>
      </x:c>
      <x:c r="M15" s="14" t="str">
        <x:f>IF(COUNT(F15:J15)=0,"",MAX(F15:J15))</x:f>
      </x:c>
      <x:c r="N15" s="14" t="str">
        <x:f>IF(OR(K15="",K15&lt;=0),"",60/K15)</x:f>
      </x:c>
      <x:c r="O15" s="14" t="str">
        <x:f>IF(OR(K15="",K15&lt;=0,C15=""),"",C15*N15)</x:f>
      </x:c>
      <x:c r="P15" s="14" t="str">
        <x:f>IF(O15="","",O15*60)</x:f>
      </x:c>
      <x:c r="Q15" s="14" t="str">
        <x:f>IF(OR(K15="",E15=""),"",K15-E15)</x:f>
      </x:c>
      <x:c r="R15" s="13" t="str">
        <x:f>IF(COUNT(Q15)=0,"",IF(Q15&lt;=0,"Đạt","Vượt mục tiêu"))</x:f>
      </x:c>
      <x:c r="S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4" t="str">
        <x:f>IF(COUNT(F16:J16)=0,"",AVERAGE(F16:J16))</x:f>
      </x:c>
      <x:c r="L16" s="14" t="str">
        <x:f>IF(COUNT(F16:J16)=0,"",MIN(F16:J16))</x:f>
      </x:c>
      <x:c r="M16" s="14" t="str">
        <x:f>IF(COUNT(F16:J16)=0,"",MAX(F16:J16))</x:f>
      </x:c>
      <x:c r="N16" s="14" t="str">
        <x:f>IF(OR(K16="",K16&lt;=0),"",60/K16)</x:f>
      </x:c>
      <x:c r="O16" s="14" t="str">
        <x:f>IF(OR(K16="",K16&lt;=0,C16=""),"",C16*N16)</x:f>
      </x:c>
      <x:c r="P16" s="14" t="str">
        <x:f>IF(O16="","",O16*60)</x:f>
      </x:c>
      <x:c r="Q16" s="14" t="str">
        <x:f>IF(OR(K16="",E16=""),"",K16-E16)</x:f>
      </x:c>
      <x:c r="R16" s="13" t="str">
        <x:f>IF(COUNT(Q16)=0,"",IF(Q16&lt;=0,"Đạt","Vượt mục tiêu"))</x:f>
      </x:c>
      <x:c r="S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4" t="str">
        <x:f>IF(COUNT(F17:J17)=0,"",AVERAGE(F17:J17))</x:f>
      </x:c>
      <x:c r="L17" s="14" t="str">
        <x:f>IF(COUNT(F17:J17)=0,"",MIN(F17:J17))</x:f>
      </x:c>
      <x:c r="M17" s="14" t="str">
        <x:f>IF(COUNT(F17:J17)=0,"",MAX(F17:J17))</x:f>
      </x:c>
      <x:c r="N17" s="14" t="str">
        <x:f>IF(OR(K17="",K17&lt;=0),"",60/K17)</x:f>
      </x:c>
      <x:c r="O17" s="14" t="str">
        <x:f>IF(OR(K17="",K17&lt;=0,C17=""),"",C17*N17)</x:f>
      </x:c>
      <x:c r="P17" s="14" t="str">
        <x:f>IF(O17="","",O17*60)</x:f>
      </x:c>
      <x:c r="Q17" s="14" t="str">
        <x:f>IF(OR(K17="",E17=""),"",K17-E17)</x:f>
      </x:c>
      <x:c r="R17" s="13" t="str">
        <x:f>IF(COUNT(Q17)=0,"",IF(Q17&lt;=0,"Đạt","Vượt mục tiêu"))</x:f>
      </x:c>
      <x:c r="S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4" t="str">
        <x:f>IF(COUNT(F18:J18)=0,"",AVERAGE(F18:J18))</x:f>
      </x:c>
      <x:c r="L18" s="14" t="str">
        <x:f>IF(COUNT(F18:J18)=0,"",MIN(F18:J18))</x:f>
      </x:c>
      <x:c r="M18" s="14" t="str">
        <x:f>IF(COUNT(F18:J18)=0,"",MAX(F18:J18))</x:f>
      </x:c>
      <x:c r="N18" s="14" t="str">
        <x:f>IF(OR(K18="",K18&lt;=0),"",60/K18)</x:f>
      </x:c>
      <x:c r="O18" s="14" t="str">
        <x:f>IF(OR(K18="",K18&lt;=0,C18=""),"",C18*N18)</x:f>
      </x:c>
      <x:c r="P18" s="14" t="str">
        <x:f>IF(O18="","",O18*60)</x:f>
      </x:c>
      <x:c r="Q18" s="14" t="str">
        <x:f>IF(OR(K18="",E18=""),"",K18-E18)</x:f>
      </x:c>
      <x:c r="R18" s="13" t="str">
        <x:f>IF(COUNT(Q18)=0,"",IF(Q18&lt;=0,"Đạt","Vượt mục tiêu"))</x:f>
      </x:c>
      <x:c r="S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4" t="str">
        <x:f>IF(COUNT(F19:J19)=0,"",AVERAGE(F19:J19))</x:f>
      </x:c>
      <x:c r="L19" s="14" t="str">
        <x:f>IF(COUNT(F19:J19)=0,"",MIN(F19:J19))</x:f>
      </x:c>
      <x:c r="M19" s="14" t="str">
        <x:f>IF(COUNT(F19:J19)=0,"",MAX(F19:J19))</x:f>
      </x:c>
      <x:c r="N19" s="14" t="str">
        <x:f>IF(OR(K19="",K19&lt;=0),"",60/K19)</x:f>
      </x:c>
      <x:c r="O19" s="14" t="str">
        <x:f>IF(OR(K19="",K19&lt;=0,C19=""),"",C19*N19)</x:f>
      </x:c>
      <x:c r="P19" s="14" t="str">
        <x:f>IF(O19="","",O19*60)</x:f>
      </x:c>
      <x:c r="Q19" s="14" t="str">
        <x:f>IF(OR(K19="",E19=""),"",K19-E19)</x:f>
      </x:c>
      <x:c r="R19" s="13" t="str">
        <x:f>IF(COUNT(Q19)=0,"",IF(Q19&lt;=0,"Đạt","Vượt mục tiêu"))</x:f>
      </x:c>
      <x:c r="S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4" t="str">
        <x:f>IF(COUNT(F20:J20)=0,"",AVERAGE(F20:J20))</x:f>
      </x:c>
      <x:c r="L20" s="14" t="str">
        <x:f>IF(COUNT(F20:J20)=0,"",MIN(F20:J20))</x:f>
      </x:c>
      <x:c r="M20" s="14" t="str">
        <x:f>IF(COUNT(F20:J20)=0,"",MAX(F20:J20))</x:f>
      </x:c>
      <x:c r="N20" s="14" t="str">
        <x:f>IF(OR(K20="",K20&lt;=0),"",60/K20)</x:f>
      </x:c>
      <x:c r="O20" s="14" t="str">
        <x:f>IF(OR(K20="",K20&lt;=0,C20=""),"",C20*N20)</x:f>
      </x:c>
      <x:c r="P20" s="14" t="str">
        <x:f>IF(O20="","",O20*60)</x:f>
      </x:c>
      <x:c r="Q20" s="14" t="str">
        <x:f>IF(OR(K20="",E20=""),"",K20-E20)</x:f>
      </x:c>
      <x:c r="R20" s="13" t="str">
        <x:f>IF(COUNT(Q20)=0,"",IF(Q20&lt;=0,"Đạt","Vượt mục tiêu"))</x:f>
      </x:c>
      <x:c r="S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4" t="str">
        <x:f>IF(COUNT(F21:J21)=0,"",AVERAGE(F21:J21))</x:f>
      </x:c>
      <x:c r="L21" s="14" t="str">
        <x:f>IF(COUNT(F21:J21)=0,"",MIN(F21:J21))</x:f>
      </x:c>
      <x:c r="M21" s="14" t="str">
        <x:f>IF(COUNT(F21:J21)=0,"",MAX(F21:J21))</x:f>
      </x:c>
      <x:c r="N21" s="14" t="str">
        <x:f>IF(OR(K21="",K21&lt;=0),"",60/K21)</x:f>
      </x:c>
      <x:c r="O21" s="14" t="str">
        <x:f>IF(OR(K21="",K21&lt;=0,C21=""),"",C21*N21)</x:f>
      </x:c>
      <x:c r="P21" s="14" t="str">
        <x:f>IF(O21="","",O21*60)</x:f>
      </x:c>
      <x:c r="Q21" s="14" t="str">
        <x:f>IF(OR(K21="",E21=""),"",K21-E21)</x:f>
      </x:c>
      <x:c r="R21" s="13" t="str">
        <x:f>IF(COUNT(Q21)=0,"",IF(Q21&lt;=0,"Đạt","Vượt mục tiêu"))</x:f>
      </x:c>
      <x:c r="S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4" t="str">
        <x:f>IF(COUNT(F22:J22)=0,"",AVERAGE(F22:J22))</x:f>
      </x:c>
      <x:c r="L22" s="14" t="str">
        <x:f>IF(COUNT(F22:J22)=0,"",MIN(F22:J22))</x:f>
      </x:c>
      <x:c r="M22" s="14" t="str">
        <x:f>IF(COUNT(F22:J22)=0,"",MAX(F22:J22))</x:f>
      </x:c>
      <x:c r="N22" s="14" t="str">
        <x:f>IF(OR(K22="",K22&lt;=0),"",60/K22)</x:f>
      </x:c>
      <x:c r="O22" s="14" t="str">
        <x:f>IF(OR(K22="",K22&lt;=0,C22=""),"",C22*N22)</x:f>
      </x:c>
      <x:c r="P22" s="14" t="str">
        <x:f>IF(O22="","",O22*60)</x:f>
      </x:c>
      <x:c r="Q22" s="14" t="str">
        <x:f>IF(OR(K22="",E22=""),"",K22-E22)</x:f>
      </x:c>
      <x:c r="R22" s="13" t="str">
        <x:f>IF(COUNT(Q22)=0,"",IF(Q22&lt;=0,"Đạt","Vượt mục tiêu"))</x:f>
      </x:c>
      <x:c r="S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4" t="str">
        <x:f>IF(COUNT(F23:J23)=0,"",AVERAGE(F23:J23))</x:f>
      </x:c>
      <x:c r="L23" s="14" t="str">
        <x:f>IF(COUNT(F23:J23)=0,"",MIN(F23:J23))</x:f>
      </x:c>
      <x:c r="M23" s="14" t="str">
        <x:f>IF(COUNT(F23:J23)=0,"",MAX(F23:J23))</x:f>
      </x:c>
      <x:c r="N23" s="14" t="str">
        <x:f>IF(OR(K23="",K23&lt;=0),"",60/K23)</x:f>
      </x:c>
      <x:c r="O23" s="14" t="str">
        <x:f>IF(OR(K23="",K23&lt;=0,C23=""),"",C23*N23)</x:f>
      </x:c>
      <x:c r="P23" s="14" t="str">
        <x:f>IF(O23="","",O23*60)</x:f>
      </x:c>
      <x:c r="Q23" s="14" t="str">
        <x:f>IF(OR(K23="",E23=""),"",K23-E23)</x:f>
      </x:c>
      <x:c r="R23" s="13" t="str">
        <x:f>IF(COUNT(Q23)=0,"",IF(Q23&lt;=0,"Đạt","Vượt mục tiêu"))</x:f>
      </x:c>
      <x:c r="S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4" t="str">
        <x:f>IF(COUNT(F24:J24)=0,"",AVERAGE(F24:J24))</x:f>
      </x:c>
      <x:c r="L24" s="14" t="str">
        <x:f>IF(COUNT(F24:J24)=0,"",MIN(F24:J24))</x:f>
      </x:c>
      <x:c r="M24" s="14" t="str">
        <x:f>IF(COUNT(F24:J24)=0,"",MAX(F24:J24))</x:f>
      </x:c>
      <x:c r="N24" s="14" t="str">
        <x:f>IF(OR(K24="",K24&lt;=0),"",60/K24)</x:f>
      </x:c>
      <x:c r="O24" s="14" t="str">
        <x:f>IF(OR(K24="",K24&lt;=0,C24=""),"",C24*N24)</x:f>
      </x:c>
      <x:c r="P24" s="14" t="str">
        <x:f>IF(O24="","",O24*60)</x:f>
      </x:c>
      <x:c r="Q24" s="14" t="str">
        <x:f>IF(OR(K24="",E24=""),"",K24-E24)</x:f>
      </x:c>
      <x:c r="R24" s="13" t="str">
        <x:f>IF(COUNT(Q24)=0,"",IF(Q24&lt;=0,"Đạt","Vượt mục tiêu"))</x:f>
      </x:c>
      <x:c r="S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4" t="str">
        <x:f>IF(COUNT(F25:J25)=0,"",AVERAGE(F25:J25))</x:f>
      </x:c>
      <x:c r="L25" s="14" t="str">
        <x:f>IF(COUNT(F25:J25)=0,"",MIN(F25:J25))</x:f>
      </x:c>
      <x:c r="M25" s="14" t="str">
        <x:f>IF(COUNT(F25:J25)=0,"",MAX(F25:J25))</x:f>
      </x:c>
      <x:c r="N25" s="14" t="str">
        <x:f>IF(OR(K25="",K25&lt;=0),"",60/K25)</x:f>
      </x:c>
      <x:c r="O25" s="14" t="str">
        <x:f>IF(OR(K25="",K25&lt;=0,C25=""),"",C25*N25)</x:f>
      </x:c>
      <x:c r="P25" s="14" t="str">
        <x:f>IF(O25="","",O25*60)</x:f>
      </x:c>
      <x:c r="Q25" s="14" t="str">
        <x:f>IF(OR(K25="",E25=""),"",K25-E25)</x:f>
      </x:c>
      <x:c r="R25" s="13" t="str">
        <x:f>IF(COUNT(Q25)=0,"",IF(Q25&lt;=0,"Đạt","Vượt mục tiêu"))</x:f>
      </x:c>
      <x:c r="S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4" t="str">
        <x:f>IF(COUNT(F26:J26)=0,"",AVERAGE(F26:J26))</x:f>
      </x:c>
      <x:c r="L26" s="14" t="str">
        <x:f>IF(COUNT(F26:J26)=0,"",MIN(F26:J26))</x:f>
      </x:c>
      <x:c r="M26" s="14" t="str">
        <x:f>IF(COUNT(F26:J26)=0,"",MAX(F26:J26))</x:f>
      </x:c>
      <x:c r="N26" s="14" t="str">
        <x:f>IF(OR(K26="",K26&lt;=0),"",60/K26)</x:f>
      </x:c>
      <x:c r="O26" s="14" t="str">
        <x:f>IF(OR(K26="",K26&lt;=0,C26=""),"",C26*N26)</x:f>
      </x:c>
      <x:c r="P26" s="14" t="str">
        <x:f>IF(O26="","",O26*60)</x:f>
      </x:c>
      <x:c r="Q26" s="14" t="str">
        <x:f>IF(OR(K26="",E26=""),"",K26-E26)</x:f>
      </x:c>
      <x:c r="R26" s="13" t="str">
        <x:f>IF(COUNT(Q26)=0,"",IF(Q26&lt;=0,"Đạt","Vượt mục tiêu"))</x:f>
      </x:c>
      <x:c r="S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4" t="str">
        <x:f>IF(COUNT(F27:J27)=0,"",AVERAGE(F27:J27))</x:f>
      </x:c>
      <x:c r="L27" s="14" t="str">
        <x:f>IF(COUNT(F27:J27)=0,"",MIN(F27:J27))</x:f>
      </x:c>
      <x:c r="M27" s="14" t="str">
        <x:f>IF(COUNT(F27:J27)=0,"",MAX(F27:J27))</x:f>
      </x:c>
      <x:c r="N27" s="14" t="str">
        <x:f>IF(OR(K27="",K27&lt;=0),"",60/K27)</x:f>
      </x:c>
      <x:c r="O27" s="14" t="str">
        <x:f>IF(OR(K27="",K27&lt;=0,C27=""),"",C27*N27)</x:f>
      </x:c>
      <x:c r="P27" s="14" t="str">
        <x:f>IF(O27="","",O27*60)</x:f>
      </x:c>
      <x:c r="Q27" s="14" t="str">
        <x:f>IF(OR(K27="",E27=""),"",K27-E27)</x:f>
      </x:c>
      <x:c r="R27" s="13" t="str">
        <x:f>IF(COUNT(Q27)=0,"",IF(Q27&lt;=0,"Đạt","Vượt mục tiêu"))</x:f>
      </x:c>
      <x:c r="S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4" t="str">
        <x:f>IF(COUNT(F28:J28)=0,"",AVERAGE(F28:J28))</x:f>
      </x:c>
      <x:c r="L28" s="14" t="str">
        <x:f>IF(COUNT(F28:J28)=0,"",MIN(F28:J28))</x:f>
      </x:c>
      <x:c r="M28" s="14" t="str">
        <x:f>IF(COUNT(F28:J28)=0,"",MAX(F28:J28))</x:f>
      </x:c>
      <x:c r="N28" s="14" t="str">
        <x:f>IF(OR(K28="",K28&lt;=0),"",60/K28)</x:f>
      </x:c>
      <x:c r="O28" s="14" t="str">
        <x:f>IF(OR(K28="",K28&lt;=0,C28=""),"",C28*N28)</x:f>
      </x:c>
      <x:c r="P28" s="14" t="str">
        <x:f>IF(O28="","",O28*60)</x:f>
      </x:c>
      <x:c r="Q28" s="14" t="str">
        <x:f>IF(OR(K28="",E28=""),"",K28-E28)</x:f>
      </x:c>
      <x:c r="R28" s="13" t="str">
        <x:f>IF(COUNT(Q28)=0,"",IF(Q28&lt;=0,"Đạt","Vượt mục tiêu"))</x:f>
      </x:c>
      <x:c r="S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4" t="str">
        <x:f>IF(COUNT(F29:J29)=0,"",AVERAGE(F29:J29))</x:f>
      </x:c>
      <x:c r="L29" s="14" t="str">
        <x:f>IF(COUNT(F29:J29)=0,"",MIN(F29:J29))</x:f>
      </x:c>
      <x:c r="M29" s="14" t="str">
        <x:f>IF(COUNT(F29:J29)=0,"",MAX(F29:J29))</x:f>
      </x:c>
      <x:c r="N29" s="14" t="str">
        <x:f>IF(OR(K29="",K29&lt;=0),"",60/K29)</x:f>
      </x:c>
      <x:c r="O29" s="14" t="str">
        <x:f>IF(OR(K29="",K29&lt;=0,C29=""),"",C29*N29)</x:f>
      </x:c>
      <x:c r="P29" s="14" t="str">
        <x:f>IF(O29="","",O29*60)</x:f>
      </x:c>
      <x:c r="Q29" s="14" t="str">
        <x:f>IF(OR(K29="",E29=""),"",K29-E29)</x:f>
      </x:c>
      <x:c r="R29" s="13" t="str">
        <x:f>IF(COUNT(Q29)=0,"",IF(Q29&lt;=0,"Đạt","Vượt mục tiêu"))</x:f>
      </x:c>
      <x:c r="S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4" t="str">
        <x:f>IF(COUNT(F30:J30)=0,"",AVERAGE(F30:J30))</x:f>
      </x:c>
      <x:c r="L30" s="14" t="str">
        <x:f>IF(COUNT(F30:J30)=0,"",MIN(F30:J30))</x:f>
      </x:c>
      <x:c r="M30" s="14" t="str">
        <x:f>IF(COUNT(F30:J30)=0,"",MAX(F30:J30))</x:f>
      </x:c>
      <x:c r="N30" s="14" t="str">
        <x:f>IF(OR(K30="",K30&lt;=0),"",60/K30)</x:f>
      </x:c>
      <x:c r="O30" s="14" t="str">
        <x:f>IF(OR(K30="",K30&lt;=0,C30=""),"",C30*N30)</x:f>
      </x:c>
      <x:c r="P30" s="14" t="str">
        <x:f>IF(O30="","",O30*60)</x:f>
      </x:c>
      <x:c r="Q30" s="14" t="str">
        <x:f>IF(OR(K30="",E30=""),"",K30-E30)</x:f>
      </x:c>
      <x:c r="R30" s="13" t="str">
        <x:f>IF(COUNT(Q30)=0,"",IF(Q30&lt;=0,"Đạt","Vượt mục tiêu"))</x:f>
      </x:c>
      <x:c r="S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4" t="str">
        <x:f>IF(COUNT(F31:J31)=0,"",AVERAGE(F31:J31))</x:f>
      </x:c>
      <x:c r="L31" s="14" t="str">
        <x:f>IF(COUNT(F31:J31)=0,"",MIN(F31:J31))</x:f>
      </x:c>
      <x:c r="M31" s="14" t="str">
        <x:f>IF(COUNT(F31:J31)=0,"",MAX(F31:J31))</x:f>
      </x:c>
      <x:c r="N31" s="14" t="str">
        <x:f>IF(OR(K31="",K31&lt;=0),"",60/K31)</x:f>
      </x:c>
      <x:c r="O31" s="14" t="str">
        <x:f>IF(OR(K31="",K31&lt;=0,C31=""),"",C31*N31)</x:f>
      </x:c>
      <x:c r="P31" s="14" t="str">
        <x:f>IF(O31="","",O31*60)</x:f>
      </x:c>
      <x:c r="Q31" s="14" t="str">
        <x:f>IF(OR(K31="",E31=""),"",K31-E31)</x:f>
      </x:c>
      <x:c r="R31" s="13" t="str">
        <x:f>IF(COUNT(Q31)=0,"",IF(Q31&lt;=0,"Đạt","Vượt mục tiêu"))</x:f>
      </x:c>
      <x:c r="S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4" t="str">
        <x:f>IF(COUNT(F32:J32)=0,"",AVERAGE(F32:J32))</x:f>
      </x:c>
      <x:c r="L32" s="14" t="str">
        <x:f>IF(COUNT(F32:J32)=0,"",MIN(F32:J32))</x:f>
      </x:c>
      <x:c r="M32" s="14" t="str">
        <x:f>IF(COUNT(F32:J32)=0,"",MAX(F32:J32))</x:f>
      </x:c>
      <x:c r="N32" s="14" t="str">
        <x:f>IF(OR(K32="",K32&lt;=0),"",60/K32)</x:f>
      </x:c>
      <x:c r="O32" s="14" t="str">
        <x:f>IF(OR(K32="",K32&lt;=0,C32=""),"",C32*N32)</x:f>
      </x:c>
      <x:c r="P32" s="14" t="str">
        <x:f>IF(O32="","",O32*60)</x:f>
      </x:c>
      <x:c r="Q32" s="14" t="str">
        <x:f>IF(OR(K32="",E32=""),"",K32-E32)</x:f>
      </x:c>
      <x:c r="R32" s="13" t="str">
        <x:f>IF(COUNT(Q32)=0,"",IF(Q32&lt;=0,"Đạt","Vượt mục tiêu"))</x:f>
      </x:c>
      <x:c r="S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4" t="str">
        <x:f>IF(COUNT(F33:J33)=0,"",AVERAGE(F33:J33))</x:f>
      </x:c>
      <x:c r="L33" s="14" t="str">
        <x:f>IF(COUNT(F33:J33)=0,"",MIN(F33:J33))</x:f>
      </x:c>
      <x:c r="M33" s="14" t="str">
        <x:f>IF(COUNT(F33:J33)=0,"",MAX(F33:J33))</x:f>
      </x:c>
      <x:c r="N33" s="14" t="str">
        <x:f>IF(OR(K33="",K33&lt;=0),"",60/K33)</x:f>
      </x:c>
      <x:c r="O33" s="14" t="str">
        <x:f>IF(OR(K33="",K33&lt;=0,C33=""),"",C33*N33)</x:f>
      </x:c>
      <x:c r="P33" s="14" t="str">
        <x:f>IF(O33="","",O33*60)</x:f>
      </x:c>
      <x:c r="Q33" s="14" t="str">
        <x:f>IF(OR(K33="",E33=""),"",K33-E33)</x:f>
      </x:c>
      <x:c r="R33" s="13" t="str">
        <x:f>IF(COUNT(Q33)=0,"",IF(Q33&lt;=0,"Đạt","Vượt mục tiêu"))</x:f>
      </x:c>
      <x:c r="S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4" t="str">
        <x:f>IF(COUNT(F34:J34)=0,"",AVERAGE(F34:J34))</x:f>
      </x:c>
      <x:c r="L34" s="14" t="str">
        <x:f>IF(COUNT(F34:J34)=0,"",MIN(F34:J34))</x:f>
      </x:c>
      <x:c r="M34" s="14" t="str">
        <x:f>IF(COUNT(F34:J34)=0,"",MAX(F34:J34))</x:f>
      </x:c>
      <x:c r="N34" s="14" t="str">
        <x:f>IF(OR(K34="",K34&lt;=0),"",60/K34)</x:f>
      </x:c>
      <x:c r="O34" s="14" t="str">
        <x:f>IF(OR(K34="",K34&lt;=0,C34=""),"",C34*N34)</x:f>
      </x:c>
      <x:c r="P34" s="14" t="str">
        <x:f>IF(O34="","",O34*60)</x:f>
      </x:c>
      <x:c r="Q34" s="14" t="str">
        <x:f>IF(OR(K34="",E34=""),"",K34-E34)</x:f>
      </x:c>
      <x:c r="R34" s="13" t="str">
        <x:f>IF(COUNT(Q34)=0,"",IF(Q34&lt;=0,"Đạt","Vượt mục tiêu"))</x:f>
      </x:c>
      <x:c r="S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4" t="str">
        <x:f>IF(COUNT(F35:J35)=0,"",AVERAGE(F35:J35))</x:f>
      </x:c>
      <x:c r="L35" s="14" t="str">
        <x:f>IF(COUNT(F35:J35)=0,"",MIN(F35:J35))</x:f>
      </x:c>
      <x:c r="M35" s="14" t="str">
        <x:f>IF(COUNT(F35:J35)=0,"",MAX(F35:J35))</x:f>
      </x:c>
      <x:c r="N35" s="14" t="str">
        <x:f>IF(OR(K35="",K35&lt;=0),"",60/K35)</x:f>
      </x:c>
      <x:c r="O35" s="14" t="str">
        <x:f>IF(OR(K35="",K35&lt;=0,C35=""),"",C35*N35)</x:f>
      </x:c>
      <x:c r="P35" s="14" t="str">
        <x:f>IF(O35="","",O35*60)</x:f>
      </x:c>
      <x:c r="Q35" s="14" t="str">
        <x:f>IF(OR(K35="",E35=""),"",K35-E35)</x:f>
      </x:c>
      <x:c r="R35" s="13" t="str">
        <x:f>IF(COUNT(Q35)=0,"",IF(Q35&lt;=0,"Đạt","Vượt mục tiêu"))</x:f>
      </x:c>
      <x:c r="S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4" t="str">
        <x:f>IF(COUNT(F36:J36)=0,"",AVERAGE(F36:J36))</x:f>
      </x:c>
      <x:c r="L36" s="14" t="str">
        <x:f>IF(COUNT(F36:J36)=0,"",MIN(F36:J36))</x:f>
      </x:c>
      <x:c r="M36" s="14" t="str">
        <x:f>IF(COUNT(F36:J36)=0,"",MAX(F36:J36))</x:f>
      </x:c>
      <x:c r="N36" s="14" t="str">
        <x:f>IF(OR(K36="",K36&lt;=0),"",60/K36)</x:f>
      </x:c>
      <x:c r="O36" s="14" t="str">
        <x:f>IF(OR(K36="",K36&lt;=0,C36=""),"",C36*N36)</x:f>
      </x:c>
      <x:c r="P36" s="14" t="str">
        <x:f>IF(O36="","",O36*60)</x:f>
      </x:c>
      <x:c r="Q36" s="14" t="str">
        <x:f>IF(OR(K36="",E36=""),"",K36-E36)</x:f>
      </x:c>
      <x:c r="R36" s="13" t="str">
        <x:f>IF(COUNT(Q36)=0,"",IF(Q36&lt;=0,"Đạt","Vượt mục tiêu"))</x:f>
      </x:c>
      <x:c r="S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4" t="str">
        <x:f>IF(COUNT(F37:J37)=0,"",AVERAGE(F37:J37))</x:f>
      </x:c>
      <x:c r="L37" s="14" t="str">
        <x:f>IF(COUNT(F37:J37)=0,"",MIN(F37:J37))</x:f>
      </x:c>
      <x:c r="M37" s="14" t="str">
        <x:f>IF(COUNT(F37:J37)=0,"",MAX(F37:J37))</x:f>
      </x:c>
      <x:c r="N37" s="14" t="str">
        <x:f>IF(OR(K37="",K37&lt;=0),"",60/K37)</x:f>
      </x:c>
      <x:c r="O37" s="14" t="str">
        <x:f>IF(OR(K37="",K37&lt;=0,C37=""),"",C37*N37)</x:f>
      </x:c>
      <x:c r="P37" s="14" t="str">
        <x:f>IF(O37="","",O37*60)</x:f>
      </x:c>
      <x:c r="Q37" s="14" t="str">
        <x:f>IF(OR(K37="",E37=""),"",K37-E37)</x:f>
      </x:c>
      <x:c r="R37" s="13" t="str">
        <x:f>IF(COUNT(Q37)=0,"",IF(Q37&lt;=0,"Đạt","Vượt mục tiêu"))</x:f>
      </x:c>
      <x:c r="S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4" t="str">
        <x:f>IF(COUNT(F38:J38)=0,"",AVERAGE(F38:J38))</x:f>
      </x:c>
      <x:c r="L38" s="14" t="str">
        <x:f>IF(COUNT(F38:J38)=0,"",MIN(F38:J38))</x:f>
      </x:c>
      <x:c r="M38" s="14" t="str">
        <x:f>IF(COUNT(F38:J38)=0,"",MAX(F38:J38))</x:f>
      </x:c>
      <x:c r="N38" s="14" t="str">
        <x:f>IF(OR(K38="",K38&lt;=0),"",60/K38)</x:f>
      </x:c>
      <x:c r="O38" s="14" t="str">
        <x:f>IF(OR(K38="",K38&lt;=0,C38=""),"",C38*N38)</x:f>
      </x:c>
      <x:c r="P38" s="14" t="str">
        <x:f>IF(O38="","",O38*60)</x:f>
      </x:c>
      <x:c r="Q38" s="14" t="str">
        <x:f>IF(OR(K38="",E38=""),"",K38-E38)</x:f>
      </x:c>
      <x:c r="R38" s="13" t="str">
        <x:f>IF(COUNT(Q38)=0,"",IF(Q38&lt;=0,"Đạt","Vượt mục tiêu"))</x:f>
      </x:c>
      <x:c r="S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</x:sheetData>
  <x:conditionalFormatting sqref="R9:R38">
    <x:cfRule type="containsText" dxfId="0" priority="1" operator="containsText" text="Vượt"/>
  </x:conditionalFormatting>
  <x:dataValidations count="1">
    <x:dataValidation type="decimal" operator="greaterThan" sqref="F9:J3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2f8976bfff48de"/>
  </x:tableParts>
</x:worksheet>
</file>