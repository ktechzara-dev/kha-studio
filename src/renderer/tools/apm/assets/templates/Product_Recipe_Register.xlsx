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fd1563976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Recipe_Register" sheetId="1" r:id="Rdd6c2b9a1480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  <x:fill>
      <x:patternFill patternType="solid">
        <x:fgColor rgb="FFEAF0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fb7123bf54ff7" /><Relationship Type="http://schemas.openxmlformats.org/officeDocument/2006/relationships/theme" Target="/xl/theme/theme1.xml" Id="R41cd7d5f05644f24" /><Relationship Type="http://schemas.openxmlformats.org/officeDocument/2006/relationships/sharedStrings" Target="/xl/sharedStrings.xml" Id="Rdebbc6047c604ee3" /><Relationship Type="http://schemas.openxmlformats.org/officeDocument/2006/relationships/worksheet" Target="/xl/worksheets/sheet1.xml" Id="Rdd6c2b9a148041dd" /></Relationships>
</file>

<file path=xl/tables/table1.xml><?xml version="1.0" encoding="utf-8"?>
<x:table xmlns:x="http://schemas.openxmlformats.org/spreadsheetml/2006/main" id="1" name="ProductRecipeRegisterTable" displayName="ProductRecipeRegisterTable" ref="A8:P38" headerRowCount="1" totalsRowCount="0" totalsRowShown="0">
  <x:tableColumns count="16">
    <x:tableColumn id="1" name="SKU ID"/>
    <x:tableColumn id="2" name="Tên model"/>
    <x:tableColumn id="3" name="Pattern ID"/>
    <x:tableColumn id="4" name="Thùng X (mm)"/>
    <x:tableColumn id="5" name="Thùng Y (mm)"/>
    <x:tableColumn id="6" name="Thùng Z (mm)"/>
    <x:tableColumn id="7" name="Pallet X (mm)"/>
    <x:tableColumn id="8" name="Pallet Y (mm)"/>
    <x:tableColumn id="9" name="Pallet Z (mm)"/>
    <x:tableColumn id="10" name="Số lớp"/>
    <x:tableColumn id="11" name="Thùng/lớp lẻ"/>
    <x:tableColumn id="12" name="Thùng/lớp chẵn"/>
    <x:tableColumn id="13" name="Thùng/pallet"/>
    <x:tableColumn id="14" name="Cao tổng (mm)"/>
    <x:tableColumn id="15" name="Tool ID"/>
    <x:tableColumn id="16" name="Rev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107569f8104f51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2" customHeight="1">
      <x:c r="A2" s="3" t="str">
        <x:v>Product Recipe Register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3" customHeight="1">
      <x:c r="A6" s="6" t="str">
        <x:v>Ô vàng nhạt: nhập liệu. Cột xanh xám: công thức. Nhập đơn vị đúng theo tiêu đề.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2" customHeight="1">
      <x:c r="A8" s="10" t="str">
        <x:v>SKU ID</x:v>
      </x:c>
      <x:c r="B8" s="10" t="str">
        <x:v>Tên model</x:v>
      </x:c>
      <x:c r="C8" s="10" t="str">
        <x:v>Pattern ID</x:v>
      </x:c>
      <x:c r="D8" s="10" t="str">
        <x:v>Thùng X (mm)</x:v>
      </x:c>
      <x:c r="E8" s="10" t="str">
        <x:v>Thùng Y (mm)</x:v>
      </x:c>
      <x:c r="F8" s="10" t="str">
        <x:v>Thùng Z (mm)</x:v>
      </x:c>
      <x:c r="G8" s="10" t="str">
        <x:v>Pallet X (mm)</x:v>
      </x:c>
      <x:c r="H8" s="10" t="str">
        <x:v>Pallet Y (mm)</x:v>
      </x:c>
      <x:c r="I8" s="10" t="str">
        <x:v>Pallet Z (mm)</x:v>
      </x:c>
      <x:c r="J8" s="10" t="str">
        <x:v>Số lớp</x:v>
      </x:c>
      <x:c r="K8" s="10" t="str">
        <x:v>Thùng/lớp lẻ</x:v>
      </x:c>
      <x:c r="L8" s="10" t="str">
        <x:v>Thùng/lớp chẵn</x:v>
      </x:c>
      <x:c r="M8" s="10" t="str">
        <x:v>Thùng/pallet</x:v>
      </x:c>
      <x:c r="N8" s="10" t="str">
        <x:v>Cao tổng (mm)</x:v>
      </x:c>
      <x:c r="O8" s="10" t="str">
        <x:v>Tool ID</x:v>
      </x:c>
      <x:c r="P8" s="10" t="str">
        <x:v>Revision</x:v>
      </x:c>
    </x:row>
    <x:row r="9" ht="23" customHeight="1">
      <x:c r="A9" s="11"/>
      <x:c r="B9" s="11"/>
      <x:c r="C9" s="11"/>
      <x:c r="D9" s="14"/>
      <x:c r="E9" s="14"/>
      <x:c r="F9" s="14"/>
      <x:c r="G9" s="14"/>
      <x:c r="H9" s="14"/>
      <x:c r="I9" s="14"/>
      <x:c r="J9" s="14"/>
      <x:c r="K9" s="14"/>
      <x:c r="L9" s="14"/>
      <x:c r="M9" s="16" t="str">
        <x:f>IF(COUNT(J9:L9)&lt;3,"",ROUNDUP(J9/2,0)*K9+ROUNDDOWN(J9/2,0)*L9)</x:f>
      </x:c>
      <x:c r="N9" s="16" t="str">
        <x:f>IF(COUNT(F9,I9,J9)&lt;3,"",I9+J9*F9)</x:f>
      </x:c>
      <x:c r="O9" s="11"/>
      <x:c r="P9" s="11"/>
    </x:row>
    <x:row r="10" ht="23" customHeight="1">
      <x:c r="A10" s="11"/>
      <x:c r="B10" s="11"/>
      <x:c r="C10" s="11"/>
      <x:c r="D10" s="14"/>
      <x:c r="E10" s="14"/>
      <x:c r="F10" s="14"/>
      <x:c r="G10" s="14"/>
      <x:c r="H10" s="14"/>
      <x:c r="I10" s="14"/>
      <x:c r="J10" s="14"/>
      <x:c r="K10" s="14"/>
      <x:c r="L10" s="14"/>
      <x:c r="M10" s="16" t="str">
        <x:f>IF(COUNT(J10:L10)&lt;3,"",ROUNDUP(J10/2,0)*K10+ROUNDDOWN(J10/2,0)*L10)</x:f>
      </x:c>
      <x:c r="N10" s="16" t="str">
        <x:f>IF(COUNT(F10,I10,J10)&lt;3,"",I10+J10*F10)</x:f>
      </x:c>
      <x:c r="O10" s="11"/>
      <x:c r="P10" s="11"/>
    </x:row>
    <x:row r="11" ht="23" customHeight="1">
      <x:c r="A11" s="11"/>
      <x:c r="B11" s="11"/>
      <x:c r="C11" s="11"/>
      <x:c r="D11" s="14"/>
      <x:c r="E11" s="14"/>
      <x:c r="F11" s="14"/>
      <x:c r="G11" s="14"/>
      <x:c r="H11" s="14"/>
      <x:c r="I11" s="14"/>
      <x:c r="J11" s="14"/>
      <x:c r="K11" s="14"/>
      <x:c r="L11" s="14"/>
      <x:c r="M11" s="16" t="str">
        <x:f>IF(COUNT(J11:L11)&lt;3,"",ROUNDUP(J11/2,0)*K11+ROUNDDOWN(J11/2,0)*L11)</x:f>
      </x:c>
      <x:c r="N11" s="16" t="str">
        <x:f>IF(COUNT(F11,I11,J11)&lt;3,"",I11+J11*F11)</x:f>
      </x:c>
      <x:c r="O11" s="11"/>
      <x:c r="P11" s="11"/>
    </x:row>
    <x:row r="12" ht="23" customHeight="1">
      <x:c r="A12" s="11"/>
      <x:c r="B12" s="11"/>
      <x:c r="C12" s="11"/>
      <x:c r="D12" s="14"/>
      <x:c r="E12" s="14"/>
      <x:c r="F12" s="14"/>
      <x:c r="G12" s="14"/>
      <x:c r="H12" s="14"/>
      <x:c r="I12" s="14"/>
      <x:c r="J12" s="14"/>
      <x:c r="K12" s="14"/>
      <x:c r="L12" s="14"/>
      <x:c r="M12" s="16" t="str">
        <x:f>IF(COUNT(J12:L12)&lt;3,"",ROUNDUP(J12/2,0)*K12+ROUNDDOWN(J12/2,0)*L12)</x:f>
      </x:c>
      <x:c r="N12" s="16" t="str">
        <x:f>IF(COUNT(F12,I12,J12)&lt;3,"",I12+J12*F12)</x:f>
      </x:c>
      <x:c r="O12" s="11"/>
      <x:c r="P12" s="11"/>
    </x:row>
    <x:row r="13" ht="23" customHeight="1">
      <x:c r="A13" s="11"/>
      <x:c r="B13" s="11"/>
      <x:c r="C13" s="11"/>
      <x:c r="D13" s="14"/>
      <x:c r="E13" s="14"/>
      <x:c r="F13" s="14"/>
      <x:c r="G13" s="14"/>
      <x:c r="H13" s="14"/>
      <x:c r="I13" s="14"/>
      <x:c r="J13" s="14"/>
      <x:c r="K13" s="14"/>
      <x:c r="L13" s="14"/>
      <x:c r="M13" s="16" t="str">
        <x:f>IF(COUNT(J13:L13)&lt;3,"",ROUNDUP(J13/2,0)*K13+ROUNDDOWN(J13/2,0)*L13)</x:f>
      </x:c>
      <x:c r="N13" s="16" t="str">
        <x:f>IF(COUNT(F13,I13,J13)&lt;3,"",I13+J13*F13)</x:f>
      </x:c>
      <x:c r="O13" s="11"/>
      <x:c r="P13" s="11"/>
    </x:row>
    <x:row r="14" ht="23" customHeight="1">
      <x:c r="A14" s="11"/>
      <x:c r="B14" s="11"/>
      <x:c r="C14" s="11"/>
      <x:c r="D14" s="14"/>
      <x:c r="E14" s="14"/>
      <x:c r="F14" s="14"/>
      <x:c r="G14" s="14"/>
      <x:c r="H14" s="14"/>
      <x:c r="I14" s="14"/>
      <x:c r="J14" s="14"/>
      <x:c r="K14" s="14"/>
      <x:c r="L14" s="14"/>
      <x:c r="M14" s="16" t="str">
        <x:f>IF(COUNT(J14:L14)&lt;3,"",ROUNDUP(J14/2,0)*K14+ROUNDDOWN(J14/2,0)*L14)</x:f>
      </x:c>
      <x:c r="N14" s="16" t="str">
        <x:f>IF(COUNT(F14,I14,J14)&lt;3,"",I14+J14*F14)</x:f>
      </x:c>
      <x:c r="O14" s="11"/>
      <x:c r="P14" s="11"/>
    </x:row>
    <x:row r="15" ht="23" customHeight="1">
      <x:c r="A15" s="11"/>
      <x:c r="B15" s="11"/>
      <x:c r="C15" s="11"/>
      <x:c r="D15" s="14"/>
      <x:c r="E15" s="14"/>
      <x:c r="F15" s="14"/>
      <x:c r="G15" s="14"/>
      <x:c r="H15" s="14"/>
      <x:c r="I15" s="14"/>
      <x:c r="J15" s="14"/>
      <x:c r="K15" s="14"/>
      <x:c r="L15" s="14"/>
      <x:c r="M15" s="16" t="str">
        <x:f>IF(COUNT(J15:L15)&lt;3,"",ROUNDUP(J15/2,0)*K15+ROUNDDOWN(J15/2,0)*L15)</x:f>
      </x:c>
      <x:c r="N15" s="16" t="str">
        <x:f>IF(COUNT(F15,I15,J15)&lt;3,"",I15+J15*F15)</x:f>
      </x:c>
      <x:c r="O15" s="11"/>
      <x:c r="P15" s="11"/>
    </x:row>
    <x:row r="16" ht="23" customHeight="1">
      <x:c r="A16" s="11"/>
      <x:c r="B16" s="11"/>
      <x:c r="C16" s="11"/>
      <x:c r="D16" s="14"/>
      <x:c r="E16" s="14"/>
      <x:c r="F16" s="14"/>
      <x:c r="G16" s="14"/>
      <x:c r="H16" s="14"/>
      <x:c r="I16" s="14"/>
      <x:c r="J16" s="14"/>
      <x:c r="K16" s="14"/>
      <x:c r="L16" s="14"/>
      <x:c r="M16" s="16" t="str">
        <x:f>IF(COUNT(J16:L16)&lt;3,"",ROUNDUP(J16/2,0)*K16+ROUNDDOWN(J16/2,0)*L16)</x:f>
      </x:c>
      <x:c r="N16" s="16" t="str">
        <x:f>IF(COUNT(F16,I16,J16)&lt;3,"",I16+J16*F16)</x:f>
      </x:c>
      <x:c r="O16" s="11"/>
      <x:c r="P16" s="11"/>
    </x:row>
    <x:row r="17" ht="23" customHeight="1">
      <x:c r="A17" s="11"/>
      <x:c r="B17" s="11"/>
      <x:c r="C17" s="11"/>
      <x:c r="D17" s="14"/>
      <x:c r="E17" s="14"/>
      <x:c r="F17" s="14"/>
      <x:c r="G17" s="14"/>
      <x:c r="H17" s="14"/>
      <x:c r="I17" s="14"/>
      <x:c r="J17" s="14"/>
      <x:c r="K17" s="14"/>
      <x:c r="L17" s="14"/>
      <x:c r="M17" s="16" t="str">
        <x:f>IF(COUNT(J17:L17)&lt;3,"",ROUNDUP(J17/2,0)*K17+ROUNDDOWN(J17/2,0)*L17)</x:f>
      </x:c>
      <x:c r="N17" s="16" t="str">
        <x:f>IF(COUNT(F17,I17,J17)&lt;3,"",I17+J17*F17)</x:f>
      </x:c>
      <x:c r="O17" s="11"/>
      <x:c r="P17" s="11"/>
    </x:row>
    <x:row r="18" ht="23" customHeight="1">
      <x:c r="A18" s="11"/>
      <x:c r="B18" s="11"/>
      <x:c r="C18" s="11"/>
      <x:c r="D18" s="14"/>
      <x:c r="E18" s="14"/>
      <x:c r="F18" s="14"/>
      <x:c r="G18" s="14"/>
      <x:c r="H18" s="14"/>
      <x:c r="I18" s="14"/>
      <x:c r="J18" s="14"/>
      <x:c r="K18" s="14"/>
      <x:c r="L18" s="14"/>
      <x:c r="M18" s="16" t="str">
        <x:f>IF(COUNT(J18:L18)&lt;3,"",ROUNDUP(J18/2,0)*K18+ROUNDDOWN(J18/2,0)*L18)</x:f>
      </x:c>
      <x:c r="N18" s="16" t="str">
        <x:f>IF(COUNT(F18,I18,J18)&lt;3,"",I18+J18*F18)</x:f>
      </x:c>
      <x:c r="O18" s="11"/>
      <x:c r="P18" s="11"/>
    </x:row>
    <x:row r="19" ht="23" customHeight="1">
      <x:c r="A19" s="11"/>
      <x:c r="B19" s="11"/>
      <x:c r="C19" s="11"/>
      <x:c r="D19" s="14"/>
      <x:c r="E19" s="14"/>
      <x:c r="F19" s="14"/>
      <x:c r="G19" s="14"/>
      <x:c r="H19" s="14"/>
      <x:c r="I19" s="14"/>
      <x:c r="J19" s="14"/>
      <x:c r="K19" s="14"/>
      <x:c r="L19" s="14"/>
      <x:c r="M19" s="16" t="str">
        <x:f>IF(COUNT(J19:L19)&lt;3,"",ROUNDUP(J19/2,0)*K19+ROUNDDOWN(J19/2,0)*L19)</x:f>
      </x:c>
      <x:c r="N19" s="16" t="str">
        <x:f>IF(COUNT(F19,I19,J19)&lt;3,"",I19+J19*F19)</x:f>
      </x:c>
      <x:c r="O19" s="11"/>
      <x:c r="P19" s="11"/>
    </x:row>
    <x:row r="20" ht="23" customHeight="1">
      <x:c r="A20" s="11"/>
      <x:c r="B20" s="11"/>
      <x:c r="C20" s="11"/>
      <x:c r="D20" s="14"/>
      <x:c r="E20" s="14"/>
      <x:c r="F20" s="14"/>
      <x:c r="G20" s="14"/>
      <x:c r="H20" s="14"/>
      <x:c r="I20" s="14"/>
      <x:c r="J20" s="14"/>
      <x:c r="K20" s="14"/>
      <x:c r="L20" s="14"/>
      <x:c r="M20" s="16" t="str">
        <x:f>IF(COUNT(J20:L20)&lt;3,"",ROUNDUP(J20/2,0)*K20+ROUNDDOWN(J20/2,0)*L20)</x:f>
      </x:c>
      <x:c r="N20" s="16" t="str">
        <x:f>IF(COUNT(F20,I20,J20)&lt;3,"",I20+J20*F20)</x:f>
      </x:c>
      <x:c r="O20" s="11"/>
      <x:c r="P20" s="11"/>
    </x:row>
    <x:row r="21" ht="23" customHeight="1">
      <x:c r="A21" s="11"/>
      <x:c r="B21" s="11"/>
      <x:c r="C21" s="11"/>
      <x:c r="D21" s="14"/>
      <x:c r="E21" s="14"/>
      <x:c r="F21" s="14"/>
      <x:c r="G21" s="14"/>
      <x:c r="H21" s="14"/>
      <x:c r="I21" s="14"/>
      <x:c r="J21" s="14"/>
      <x:c r="K21" s="14"/>
      <x:c r="L21" s="14"/>
      <x:c r="M21" s="16" t="str">
        <x:f>IF(COUNT(J21:L21)&lt;3,"",ROUNDUP(J21/2,0)*K21+ROUNDDOWN(J21/2,0)*L21)</x:f>
      </x:c>
      <x:c r="N21" s="16" t="str">
        <x:f>IF(COUNT(F21,I21,J21)&lt;3,"",I21+J21*F21)</x:f>
      </x:c>
      <x:c r="O21" s="11"/>
      <x:c r="P21" s="11"/>
    </x:row>
    <x:row r="22" ht="23" customHeight="1">
      <x:c r="A22" s="11"/>
      <x:c r="B22" s="11"/>
      <x:c r="C22" s="11"/>
      <x:c r="D22" s="14"/>
      <x:c r="E22" s="14"/>
      <x:c r="F22" s="14"/>
      <x:c r="G22" s="14"/>
      <x:c r="H22" s="14"/>
      <x:c r="I22" s="14"/>
      <x:c r="J22" s="14"/>
      <x:c r="K22" s="14"/>
      <x:c r="L22" s="14"/>
      <x:c r="M22" s="16" t="str">
        <x:f>IF(COUNT(J22:L22)&lt;3,"",ROUNDUP(J22/2,0)*K22+ROUNDDOWN(J22/2,0)*L22)</x:f>
      </x:c>
      <x:c r="N22" s="16" t="str">
        <x:f>IF(COUNT(F22,I22,J22)&lt;3,"",I22+J22*F22)</x:f>
      </x:c>
      <x:c r="O22" s="11"/>
      <x:c r="P22" s="11"/>
    </x:row>
    <x:row r="23" ht="23" customHeight="1">
      <x:c r="A23" s="11"/>
      <x:c r="B23" s="11"/>
      <x:c r="C23" s="11"/>
      <x:c r="D23" s="14"/>
      <x:c r="E23" s="14"/>
      <x:c r="F23" s="14"/>
      <x:c r="G23" s="14"/>
      <x:c r="H23" s="14"/>
      <x:c r="I23" s="14"/>
      <x:c r="J23" s="14"/>
      <x:c r="K23" s="14"/>
      <x:c r="L23" s="14"/>
      <x:c r="M23" s="16" t="str">
        <x:f>IF(COUNT(J23:L23)&lt;3,"",ROUNDUP(J23/2,0)*K23+ROUNDDOWN(J23/2,0)*L23)</x:f>
      </x:c>
      <x:c r="N23" s="16" t="str">
        <x:f>IF(COUNT(F23,I23,J23)&lt;3,"",I23+J23*F23)</x:f>
      </x:c>
      <x:c r="O23" s="11"/>
      <x:c r="P23" s="11"/>
    </x:row>
    <x:row r="24" ht="23" customHeight="1">
      <x:c r="A24" s="11"/>
      <x:c r="B24" s="11"/>
      <x:c r="C24" s="11"/>
      <x:c r="D24" s="14"/>
      <x:c r="E24" s="14"/>
      <x:c r="F24" s="14"/>
      <x:c r="G24" s="14"/>
      <x:c r="H24" s="14"/>
      <x:c r="I24" s="14"/>
      <x:c r="J24" s="14"/>
      <x:c r="K24" s="14"/>
      <x:c r="L24" s="14"/>
      <x:c r="M24" s="16" t="str">
        <x:f>IF(COUNT(J24:L24)&lt;3,"",ROUNDUP(J24/2,0)*K24+ROUNDDOWN(J24/2,0)*L24)</x:f>
      </x:c>
      <x:c r="N24" s="16" t="str">
        <x:f>IF(COUNT(F24,I24,J24)&lt;3,"",I24+J24*F24)</x:f>
      </x:c>
      <x:c r="O24" s="11"/>
      <x:c r="P24" s="11"/>
    </x:row>
    <x:row r="25" ht="23" customHeight="1">
      <x:c r="A25" s="11"/>
      <x:c r="B25" s="11"/>
      <x:c r="C25" s="11"/>
      <x:c r="D25" s="14"/>
      <x:c r="E25" s="14"/>
      <x:c r="F25" s="14"/>
      <x:c r="G25" s="14"/>
      <x:c r="H25" s="14"/>
      <x:c r="I25" s="14"/>
      <x:c r="J25" s="14"/>
      <x:c r="K25" s="14"/>
      <x:c r="L25" s="14"/>
      <x:c r="M25" s="16" t="str">
        <x:f>IF(COUNT(J25:L25)&lt;3,"",ROUNDUP(J25/2,0)*K25+ROUNDDOWN(J25/2,0)*L25)</x:f>
      </x:c>
      <x:c r="N25" s="16" t="str">
        <x:f>IF(COUNT(F25,I25,J25)&lt;3,"",I25+J25*F25)</x:f>
      </x:c>
      <x:c r="O25" s="11"/>
      <x:c r="P25" s="11"/>
    </x:row>
    <x:row r="26" ht="23" customHeight="1">
      <x:c r="A26" s="11"/>
      <x:c r="B26" s="11"/>
      <x:c r="C26" s="11"/>
      <x:c r="D26" s="14"/>
      <x:c r="E26" s="14"/>
      <x:c r="F26" s="14"/>
      <x:c r="G26" s="14"/>
      <x:c r="H26" s="14"/>
      <x:c r="I26" s="14"/>
      <x:c r="J26" s="14"/>
      <x:c r="K26" s="14"/>
      <x:c r="L26" s="14"/>
      <x:c r="M26" s="16" t="str">
        <x:f>IF(COUNT(J26:L26)&lt;3,"",ROUNDUP(J26/2,0)*K26+ROUNDDOWN(J26/2,0)*L26)</x:f>
      </x:c>
      <x:c r="N26" s="16" t="str">
        <x:f>IF(COUNT(F26,I26,J26)&lt;3,"",I26+J26*F26)</x:f>
      </x:c>
      <x:c r="O26" s="11"/>
      <x:c r="P26" s="11"/>
    </x:row>
    <x:row r="27" ht="23" customHeight="1">
      <x:c r="A27" s="11"/>
      <x:c r="B27" s="11"/>
      <x:c r="C27" s="11"/>
      <x:c r="D27" s="14"/>
      <x:c r="E27" s="14"/>
      <x:c r="F27" s="14"/>
      <x:c r="G27" s="14"/>
      <x:c r="H27" s="14"/>
      <x:c r="I27" s="14"/>
      <x:c r="J27" s="14"/>
      <x:c r="K27" s="14"/>
      <x:c r="L27" s="14"/>
      <x:c r="M27" s="16" t="str">
        <x:f>IF(COUNT(J27:L27)&lt;3,"",ROUNDUP(J27/2,0)*K27+ROUNDDOWN(J27/2,0)*L27)</x:f>
      </x:c>
      <x:c r="N27" s="16" t="str">
        <x:f>IF(COUNT(F27,I27,J27)&lt;3,"",I27+J27*F27)</x:f>
      </x:c>
      <x:c r="O27" s="11"/>
      <x:c r="P27" s="11"/>
    </x:row>
    <x:row r="28" ht="23" customHeight="1">
      <x:c r="A28" s="11"/>
      <x:c r="B28" s="11"/>
      <x:c r="C28" s="11"/>
      <x:c r="D28" s="14"/>
      <x:c r="E28" s="14"/>
      <x:c r="F28" s="14"/>
      <x:c r="G28" s="14"/>
      <x:c r="H28" s="14"/>
      <x:c r="I28" s="14"/>
      <x:c r="J28" s="14"/>
      <x:c r="K28" s="14"/>
      <x:c r="L28" s="14"/>
      <x:c r="M28" s="16" t="str">
        <x:f>IF(COUNT(J28:L28)&lt;3,"",ROUNDUP(J28/2,0)*K28+ROUNDDOWN(J28/2,0)*L28)</x:f>
      </x:c>
      <x:c r="N28" s="16" t="str">
        <x:f>IF(COUNT(F28,I28,J28)&lt;3,"",I28+J28*F28)</x:f>
      </x:c>
      <x:c r="O28" s="11"/>
      <x:c r="P28" s="11"/>
    </x:row>
    <x:row r="29" ht="23" customHeight="1">
      <x:c r="A29" s="11"/>
      <x:c r="B29" s="11"/>
      <x:c r="C29" s="11"/>
      <x:c r="D29" s="14"/>
      <x:c r="E29" s="14"/>
      <x:c r="F29" s="14"/>
      <x:c r="G29" s="14"/>
      <x:c r="H29" s="14"/>
      <x:c r="I29" s="14"/>
      <x:c r="J29" s="14"/>
      <x:c r="K29" s="14"/>
      <x:c r="L29" s="14"/>
      <x:c r="M29" s="16" t="str">
        <x:f>IF(COUNT(J29:L29)&lt;3,"",ROUNDUP(J29/2,0)*K29+ROUNDDOWN(J29/2,0)*L29)</x:f>
      </x:c>
      <x:c r="N29" s="16" t="str">
        <x:f>IF(COUNT(F29,I29,J29)&lt;3,"",I29+J29*F29)</x:f>
      </x:c>
      <x:c r="O29" s="11"/>
      <x:c r="P29" s="11"/>
    </x:row>
    <x:row r="30" ht="23" customHeight="1">
      <x:c r="A30" s="11"/>
      <x:c r="B30" s="11"/>
      <x:c r="C30" s="11"/>
      <x:c r="D30" s="14"/>
      <x:c r="E30" s="14"/>
      <x:c r="F30" s="14"/>
      <x:c r="G30" s="14"/>
      <x:c r="H30" s="14"/>
      <x:c r="I30" s="14"/>
      <x:c r="J30" s="14"/>
      <x:c r="K30" s="14"/>
      <x:c r="L30" s="14"/>
      <x:c r="M30" s="16" t="str">
        <x:f>IF(COUNT(J30:L30)&lt;3,"",ROUNDUP(J30/2,0)*K30+ROUNDDOWN(J30/2,0)*L30)</x:f>
      </x:c>
      <x:c r="N30" s="16" t="str">
        <x:f>IF(COUNT(F30,I30,J30)&lt;3,"",I30+J30*F30)</x:f>
      </x:c>
      <x:c r="O30" s="11"/>
      <x:c r="P30" s="11"/>
    </x:row>
    <x:row r="31" ht="23" customHeight="1">
      <x:c r="A31" s="11"/>
      <x:c r="B31" s="11"/>
      <x:c r="C31" s="11"/>
      <x:c r="D31" s="14"/>
      <x:c r="E31" s="14"/>
      <x:c r="F31" s="14"/>
      <x:c r="G31" s="14"/>
      <x:c r="H31" s="14"/>
      <x:c r="I31" s="14"/>
      <x:c r="J31" s="14"/>
      <x:c r="K31" s="14"/>
      <x:c r="L31" s="14"/>
      <x:c r="M31" s="16" t="str">
        <x:f>IF(COUNT(J31:L31)&lt;3,"",ROUNDUP(J31/2,0)*K31+ROUNDDOWN(J31/2,0)*L31)</x:f>
      </x:c>
      <x:c r="N31" s="16" t="str">
        <x:f>IF(COUNT(F31,I31,J31)&lt;3,"",I31+J31*F31)</x:f>
      </x:c>
      <x:c r="O31" s="11"/>
      <x:c r="P31" s="11"/>
    </x:row>
    <x:row r="32" ht="23" customHeight="1">
      <x:c r="A32" s="11"/>
      <x:c r="B32" s="11"/>
      <x:c r="C32" s="11"/>
      <x:c r="D32" s="14"/>
      <x:c r="E32" s="14"/>
      <x:c r="F32" s="14"/>
      <x:c r="G32" s="14"/>
      <x:c r="H32" s="14"/>
      <x:c r="I32" s="14"/>
      <x:c r="J32" s="14"/>
      <x:c r="K32" s="14"/>
      <x:c r="L32" s="14"/>
      <x:c r="M32" s="16" t="str">
        <x:f>IF(COUNT(J32:L32)&lt;3,"",ROUNDUP(J32/2,0)*K32+ROUNDDOWN(J32/2,0)*L32)</x:f>
      </x:c>
      <x:c r="N32" s="16" t="str">
        <x:f>IF(COUNT(F32,I32,J32)&lt;3,"",I32+J32*F32)</x:f>
      </x:c>
      <x:c r="O32" s="11"/>
      <x:c r="P32" s="11"/>
    </x:row>
    <x:row r="33" ht="23" customHeight="1">
      <x:c r="A33" s="11"/>
      <x:c r="B33" s="11"/>
      <x:c r="C33" s="11"/>
      <x:c r="D33" s="14"/>
      <x:c r="E33" s="14"/>
      <x:c r="F33" s="14"/>
      <x:c r="G33" s="14"/>
      <x:c r="H33" s="14"/>
      <x:c r="I33" s="14"/>
      <x:c r="J33" s="14"/>
      <x:c r="K33" s="14"/>
      <x:c r="L33" s="14"/>
      <x:c r="M33" s="16" t="str">
        <x:f>IF(COUNT(J33:L33)&lt;3,"",ROUNDUP(J33/2,0)*K33+ROUNDDOWN(J33/2,0)*L33)</x:f>
      </x:c>
      <x:c r="N33" s="16" t="str">
        <x:f>IF(COUNT(F33,I33,J33)&lt;3,"",I33+J33*F33)</x:f>
      </x:c>
      <x:c r="O33" s="11"/>
      <x:c r="P33" s="11"/>
    </x:row>
    <x:row r="34" ht="23" customHeight="1">
      <x:c r="A34" s="11"/>
      <x:c r="B34" s="11"/>
      <x:c r="C34" s="11"/>
      <x:c r="D34" s="14"/>
      <x:c r="E34" s="14"/>
      <x:c r="F34" s="14"/>
      <x:c r="G34" s="14"/>
      <x:c r="H34" s="14"/>
      <x:c r="I34" s="14"/>
      <x:c r="J34" s="14"/>
      <x:c r="K34" s="14"/>
      <x:c r="L34" s="14"/>
      <x:c r="M34" s="16" t="str">
        <x:f>IF(COUNT(J34:L34)&lt;3,"",ROUNDUP(J34/2,0)*K34+ROUNDDOWN(J34/2,0)*L34)</x:f>
      </x:c>
      <x:c r="N34" s="16" t="str">
        <x:f>IF(COUNT(F34,I34,J34)&lt;3,"",I34+J34*F34)</x:f>
      </x:c>
      <x:c r="O34" s="11"/>
      <x:c r="P34" s="11"/>
    </x:row>
    <x:row r="35" ht="23" customHeight="1">
      <x:c r="A35" s="11"/>
      <x:c r="B35" s="11"/>
      <x:c r="C35" s="11"/>
      <x:c r="D35" s="14"/>
      <x:c r="E35" s="14"/>
      <x:c r="F35" s="14"/>
      <x:c r="G35" s="14"/>
      <x:c r="H35" s="14"/>
      <x:c r="I35" s="14"/>
      <x:c r="J35" s="14"/>
      <x:c r="K35" s="14"/>
      <x:c r="L35" s="14"/>
      <x:c r="M35" s="16" t="str">
        <x:f>IF(COUNT(J35:L35)&lt;3,"",ROUNDUP(J35/2,0)*K35+ROUNDDOWN(J35/2,0)*L35)</x:f>
      </x:c>
      <x:c r="N35" s="16" t="str">
        <x:f>IF(COUNT(F35,I35,J35)&lt;3,"",I35+J35*F35)</x:f>
      </x:c>
      <x:c r="O35" s="11"/>
      <x:c r="P35" s="11"/>
    </x:row>
    <x:row r="36" ht="23" customHeight="1">
      <x:c r="A36" s="11"/>
      <x:c r="B36" s="11"/>
      <x:c r="C36" s="11"/>
      <x:c r="D36" s="14"/>
      <x:c r="E36" s="14"/>
      <x:c r="F36" s="14"/>
      <x:c r="G36" s="14"/>
      <x:c r="H36" s="14"/>
      <x:c r="I36" s="14"/>
      <x:c r="J36" s="14"/>
      <x:c r="K36" s="14"/>
      <x:c r="L36" s="14"/>
      <x:c r="M36" s="16" t="str">
        <x:f>IF(COUNT(J36:L36)&lt;3,"",ROUNDUP(J36/2,0)*K36+ROUNDDOWN(J36/2,0)*L36)</x:f>
      </x:c>
      <x:c r="N36" s="16" t="str">
        <x:f>IF(COUNT(F36,I36,J36)&lt;3,"",I36+J36*F36)</x:f>
      </x:c>
      <x:c r="O36" s="11"/>
      <x:c r="P36" s="11"/>
    </x:row>
    <x:row r="37" ht="23" customHeight="1">
      <x:c r="A37" s="11"/>
      <x:c r="B37" s="11"/>
      <x:c r="C37" s="11"/>
      <x:c r="D37" s="14"/>
      <x:c r="E37" s="14"/>
      <x:c r="F37" s="14"/>
      <x:c r="G37" s="14"/>
      <x:c r="H37" s="14"/>
      <x:c r="I37" s="14"/>
      <x:c r="J37" s="14"/>
      <x:c r="K37" s="14"/>
      <x:c r="L37" s="14"/>
      <x:c r="M37" s="16" t="str">
        <x:f>IF(COUNT(J37:L37)&lt;3,"",ROUNDUP(J37/2,0)*K37+ROUNDDOWN(J37/2,0)*L37)</x:f>
      </x:c>
      <x:c r="N37" s="16" t="str">
        <x:f>IF(COUNT(F37,I37,J37)&lt;3,"",I37+J37*F37)</x:f>
      </x:c>
      <x:c r="O37" s="11"/>
      <x:c r="P37" s="11"/>
    </x:row>
    <x:row r="38" ht="23" customHeight="1">
      <x:c r="A38" s="12"/>
      <x:c r="B38" s="12"/>
      <x:c r="C38" s="12"/>
      <x:c r="D38" s="15"/>
      <x:c r="E38" s="15"/>
      <x:c r="F38" s="15"/>
      <x:c r="G38" s="15"/>
      <x:c r="H38" s="15"/>
      <x:c r="I38" s="15"/>
      <x:c r="J38" s="15"/>
      <x:c r="K38" s="15"/>
      <x:c r="L38" s="15"/>
      <x:c r="M38" s="16" t="str">
        <x:f>IF(COUNT(J38:L38)&lt;3,"",ROUNDUP(J38/2,0)*K38+ROUNDDOWN(J38/2,0)*L38)</x:f>
      </x:c>
      <x:c r="N38" s="16" t="str">
        <x:f>IF(COUNT(F38,I38,J38)&lt;3,"",I38+J38*F38)</x:f>
      </x:c>
      <x:c r="O38" s="12"/>
      <x:c r="P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</x:sheetData>
  <x:pageMargins left="0.7" right="0.7" top="0.75" bottom="0.75" header="0.3" footer="0.3"/>
  <x:tableParts count="1">
    <x:tablePart xmlns:r="http://schemas.openxmlformats.org/officeDocument/2006/relationships" r:id="R1f107569f8104f51"/>
  </x:tableParts>
</x:worksheet>
</file>